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Overview" sheetId="2" state="visible" r:id="rId2"/>
    <sheet name="Agent-User Daily" sheetId="3" state="visible" r:id="rId3"/>
    <sheet name="M365 Copilot Chat" sheetId="4" state="visible" r:id="rId4"/>
    <sheet name="Feature Detail" sheetId="5" state="visible" r:id="rId5"/>
    <sheet name="Agent Summary" sheetId="6" state="visible" r:id="rId6"/>
    <sheet name="User Summary" sheetId="7" state="visible" r:id="rId7"/>
    <sheet name="Feature Summary" sheetId="8" state="visible" r:id="rId8"/>
    <sheet name="Reconciliation" sheetId="9" state="visible" r:id="rId9"/>
    <sheet name="About" sheetId="10" state="visible" r:id="rId10"/>
  </sheets>
  <definedNames>
    <definedName name="_xlnm._FilterDatabase" localSheetId="2" hidden="1">'Agent-User Daily'!$A$1:$P$8</definedName>
    <definedName name="_xlnm._FilterDatabase" localSheetId="3" hidden="1">'M365 Copilot Chat'!$A$1:$N$5</definedName>
    <definedName name="_xlnm._FilterDatabase" localSheetId="4" hidden="1">'Feature Detail'!$A$1:$K$12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00"/>
    <numFmt numFmtId="165" formatCode="yyyy-mm-dd"/>
    <numFmt numFmtId="166" formatCode="#,##0.00;(#,##0.00);&quot;-&quot;"/>
    <numFmt numFmtId="167" formatCode="&quot;$&quot;#,##0.00;(&quot;$&quot;#,##0.00);&quot;-&quot;"/>
    <numFmt numFmtId="168" formatCode="#,##0;(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166" fontId="5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copilot-credits-report</author>
  </authors>
  <commentList>
    <comment ref="B3" authorId="0" shapeId="0">
      <text>
        <t>Source: Microsoft Learn, 'Pay-as-you-go meters', Copilot Studio meter = $0.01 per Copilot Credit (list price), https://learn.microsoft.com/power-platform/admin/pay-as-you-go-meters. Change this if your agreement or pre-purchase plan gives a different effective rate.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Copilot Credits report</t>
        </is>
      </c>
    </row>
    <row r="3">
      <c r="A3" s="2" t="inlineStr">
        <is>
          <t>Rate per Copilot Credit (USD)</t>
        </is>
      </c>
      <c r="B3" s="3" t="n">
        <v>0.01</v>
      </c>
    </row>
    <row r="4">
      <c r="A4" s="2" t="inlineStr">
        <is>
          <t>Report period - from</t>
        </is>
      </c>
      <c r="B4" s="4" t="n">
        <v>46289</v>
      </c>
    </row>
    <row r="5">
      <c r="A5" s="2" t="inlineStr">
        <is>
          <t>Report period - to</t>
        </is>
      </c>
      <c r="B5" s="4" t="n">
        <v>46295</v>
      </c>
    </row>
    <row r="6">
      <c r="A6" s="2" t="inlineStr">
        <is>
          <t>Tenant ID</t>
        </is>
      </c>
      <c r="B6" s="2" t="inlineStr">
        <is>
          <t>00000000-0000-0000-0000-000000000000 (sample data - fictitious)</t>
        </is>
      </c>
    </row>
    <row r="7">
      <c r="A7" s="2" t="inlineStr">
        <is>
          <t>Generated (UTC)</t>
        </is>
      </c>
      <c r="B7" s="2" t="inlineStr">
        <is>
          <t>2026-10-01 00:00</t>
        </is>
      </c>
    </row>
    <row r="8">
      <c r="A8" s="2" t="inlineStr">
        <is>
          <t>Script version</t>
        </is>
      </c>
      <c r="B8" s="2" t="inlineStr">
        <is>
          <t>1.0.0</t>
        </is>
      </c>
    </row>
    <row r="10" ht="42" customHeight="1">
      <c r="A10" s="5" t="inlineStr">
        <is>
          <t>Estimated Cost = Billed Credits x rate. Non-billable credits (for example Microsoft 365 Copilot licensed users or developer environments) cost nothing.</t>
        </is>
      </c>
    </row>
    <row r="11" ht="42" customHeight="1">
      <c r="A11" s="5" t="inlineStr">
        <is>
          <t>Allocated Azure Cost = the billing policy's actual Azure charge for the day (or for the Microsoft 365 report window), split across report rows in proportion to their billed credits.</t>
        </is>
      </c>
    </row>
    <row r="12" ht="42" customHeight="1">
      <c r="A12" s="5" t="inlineStr">
        <is>
          <t>Funding Source: PAYG = billed to the Azure subscription of the environment's billing policy. Prepaid, then PAYG = the environment has prepaid credits allocated and overflows to PAYG. Prepaid capacity = covered by capacity packs, no Azure charge. Non-billable = zero-rated usage.</t>
        </is>
      </c>
    </row>
    <row r="13" ht="42" customHeight="1">
      <c r="A13" s="5" t="inlineStr">
        <is>
          <t>Microsoft 365 Copilot Chat rows come from the Copilot Credits report export and cover a 7- or 30-day window ending on 'Period End', not a single day.</t>
        </is>
      </c>
    </row>
  </sheetData>
  <mergeCells count="4">
    <mergeCell ref="A13:B13"/>
    <mergeCell ref="A11:B11"/>
    <mergeCell ref="A10:B10"/>
    <mergeCell ref="A12:B1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Credits and cost by product</t>
        </is>
      </c>
    </row>
    <row r="2">
      <c r="A2" s="6" t="inlineStr">
        <is>
          <t>Product</t>
        </is>
      </c>
      <c r="B2" s="6" t="inlineStr">
        <is>
          <t>Billed Credits</t>
        </is>
      </c>
      <c r="C2" s="6" t="inlineStr">
        <is>
          <t>Non-billable Credits</t>
        </is>
      </c>
      <c r="D2" s="6" t="inlineStr">
        <is>
          <t>Credits Consumed</t>
        </is>
      </c>
      <c r="E2" s="6" t="inlineStr">
        <is>
          <t>Estimated Cost (USD)</t>
        </is>
      </c>
      <c r="F2" s="6" t="inlineStr">
        <is>
          <t>Allocated Azure Cost (USD)</t>
        </is>
      </c>
    </row>
    <row r="3">
      <c r="A3" s="2" t="inlineStr">
        <is>
          <t>Copilot Studio</t>
        </is>
      </c>
      <c r="B3" s="7">
        <f>SUMIFS('Agent-User Daily'!$H$2:$H$8,'Agent-User Daily'!$M$2:$M$8,$A3)</f>
        <v/>
      </c>
      <c r="C3" s="7">
        <f>SUMIFS('Agent-User Daily'!$I$2:$I$8,'Agent-User Daily'!$M$2:$M$8,$A3)</f>
        <v/>
      </c>
      <c r="D3" s="8">
        <f>B3+C3</f>
        <v/>
      </c>
      <c r="E3" s="9">
        <f>SUMIFS('Agent-User Daily'!$F$2:$F$8,'Agent-User Daily'!$M$2:$M$8,$A3)</f>
        <v/>
      </c>
      <c r="F3" s="9">
        <f>SUMIFS('Agent-User Daily'!$G$2:$G$8,'Agent-User Daily'!$M$2:$M$8,$A3)</f>
        <v/>
      </c>
    </row>
    <row r="4">
      <c r="A4" s="2" t="inlineStr">
        <is>
          <t>Microsoft 365 Copilot Chat (metered agents)</t>
        </is>
      </c>
      <c r="B4" s="7">
        <f>SUM('M365 Copilot Chat'!$F$2:$F$5)</f>
        <v/>
      </c>
      <c r="C4" s="8" t="n">
        <v>0</v>
      </c>
      <c r="D4" s="8">
        <f>B4+C4</f>
        <v/>
      </c>
      <c r="E4" s="9">
        <f>SUM('M365 Copilot Chat'!$G$2:$G$5)</f>
        <v/>
      </c>
      <c r="F4" s="9">
        <f>SUM('M365 Copilot Chat'!$H$2:$H$5)</f>
        <v/>
      </c>
    </row>
    <row r="5">
      <c r="A5" s="1" t="inlineStr">
        <is>
          <t>Total</t>
        </is>
      </c>
      <c r="B5" s="10">
        <f>SUM(B3:B4)</f>
        <v/>
      </c>
      <c r="C5" s="10">
        <f>SUM(C3:C4)</f>
        <v/>
      </c>
      <c r="D5" s="10">
        <f>SUM(D3:D4)</f>
        <v/>
      </c>
      <c r="E5" s="11">
        <f>SUM(E3:E4)</f>
        <v/>
      </c>
      <c r="F5" s="11">
        <f>SUM(F3:F4)</f>
        <v/>
      </c>
    </row>
    <row r="7">
      <c r="A7" s="1" t="inlineStr">
        <is>
          <t>Billed credits by funding source</t>
        </is>
      </c>
    </row>
    <row r="8">
      <c r="A8" s="6" t="inlineStr">
        <is>
          <t>Funding Source</t>
        </is>
      </c>
      <c r="B8" s="6" t="inlineStr">
        <is>
          <t>Billed Credits</t>
        </is>
      </c>
      <c r="C8" s="6" t="inlineStr">
        <is>
          <t>Estimated Cost (USD)</t>
        </is>
      </c>
      <c r="D8" s="6" t="inlineStr">
        <is>
          <t>Allocated Azure Cost (USD)</t>
        </is>
      </c>
    </row>
    <row r="9">
      <c r="A9" s="2" t="inlineStr">
        <is>
          <t>PAYG</t>
        </is>
      </c>
      <c r="B9" s="7">
        <f>SUMIFS('Agent-User Daily'!$H$2:$H$8,'Agent-User Daily'!$K$2:$K$8,$A9)</f>
        <v/>
      </c>
      <c r="C9" s="9">
        <f>SUMIFS('Agent-User Daily'!$F$2:$F$8,'Agent-User Daily'!$K$2:$K$8,$A9)</f>
        <v/>
      </c>
      <c r="D9" s="9">
        <f>SUMIFS('Agent-User Daily'!$G$2:$G$8,'Agent-User Daily'!$K$2:$K$8,$A9)</f>
        <v/>
      </c>
    </row>
    <row r="10">
      <c r="A10" s="2" t="inlineStr">
        <is>
          <t>Prepaid capacity</t>
        </is>
      </c>
      <c r="B10" s="7">
        <f>SUMIFS('Agent-User Daily'!$H$2:$H$8,'Agent-User Daily'!$K$2:$K$8,$A10)</f>
        <v/>
      </c>
      <c r="C10" s="9">
        <f>SUMIFS('Agent-User Daily'!$F$2:$F$8,'Agent-User Daily'!$K$2:$K$8,$A10)</f>
        <v/>
      </c>
      <c r="D10" s="9">
        <f>SUMIFS('Agent-User Daily'!$G$2:$G$8,'Agent-User Daily'!$K$2:$K$8,$A10)</f>
        <v/>
      </c>
    </row>
    <row r="11">
      <c r="A11" s="2" t="inlineStr">
        <is>
          <t>PAYG (Microsoft 365 billing policy)</t>
        </is>
      </c>
      <c r="B11" s="7">
        <f>SUM('M365 Copilot Chat'!$F$2:$F$5)</f>
        <v/>
      </c>
      <c r="C11" s="9">
        <f>SUM('M365 Copilot Chat'!$G$2:$G$5)</f>
        <v/>
      </c>
      <c r="D11" s="9">
        <f>SUM('M365 Copilot Chat'!$H$2:$H$5)</f>
        <v/>
      </c>
    </row>
    <row r="12">
      <c r="A12" s="1" t="inlineStr">
        <is>
          <t>Total</t>
        </is>
      </c>
      <c r="B12" s="10">
        <f>SUM(B9:B11)</f>
        <v/>
      </c>
      <c r="C12" s="11">
        <f>SUM(C9:C11)</f>
        <v/>
      </c>
      <c r="D12" s="11">
        <f>SUM(D9:D11)</f>
        <v/>
      </c>
    </row>
    <row r="14">
      <c r="A14" s="1" t="inlineStr">
        <is>
          <t>Azure actual charges on Copilot meters</t>
        </is>
      </c>
    </row>
    <row r="15">
      <c r="A15" s="2" t="inlineStr">
        <is>
          <t>Azure cost (USD)</t>
        </is>
      </c>
      <c r="B15" s="9">
        <f>SUM('Reconciliation'!$E$3:$E$8)</f>
        <v/>
      </c>
    </row>
    <row r="16">
      <c r="A16" s="2" t="inlineStr">
        <is>
          <t>Azure quantity (credits)</t>
        </is>
      </c>
      <c r="B16" s="7">
        <f>SUM('Reconciliation'!$D$3:$D$8)</f>
        <v/>
      </c>
    </row>
    <row r="17">
      <c r="A17" s="2" t="inlineStr">
        <is>
          <t>Allocated to report rows (USD)</t>
        </is>
      </c>
      <c r="B17" s="12">
        <f>F5</f>
        <v/>
      </c>
    </row>
    <row r="18">
      <c r="A18" s="2" t="inlineStr">
        <is>
          <t>Not matched to any report row (USD)</t>
        </is>
      </c>
      <c r="B18" s="12">
        <f>B15-B17</f>
        <v/>
      </c>
    </row>
    <row r="19" ht="30" customHeight="1">
      <c r="A19" s="5" t="inlineStr">
        <is>
          <t>Unmatched cost usually means usage with no user (for example autonomous runs), a Microsoft 365 billing policy without --m365-policy-map, or metered usage this report doesn't cover.</t>
        </is>
      </c>
    </row>
  </sheetData>
  <mergeCells count="1">
    <mergeCell ref="A19:F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22" customWidth="1" min="4" max="4"/>
    <col width="13" customWidth="1" min="5" max="5"/>
    <col width="13" customWidth="1" min="6" max="6"/>
    <col width="14" customWidth="1" min="7" max="7"/>
    <col width="12" customWidth="1" min="8" max="8"/>
    <col width="13" customWidth="1" min="9" max="9"/>
    <col width="20" customWidth="1" min="10" max="10"/>
    <col width="18" customWidth="1" min="11" max="11"/>
    <col width="18" customWidth="1" min="12" max="12"/>
    <col width="22" customWidth="1" min="13" max="13"/>
    <col width="38" customWidth="1" min="14" max="14"/>
    <col width="38" customWidth="1" min="15" max="15"/>
    <col width="38" customWidth="1" min="16" max="16"/>
  </cols>
  <sheetData>
    <row r="1">
      <c r="A1" s="6" t="inlineStr">
        <is>
          <t>Date</t>
        </is>
      </c>
      <c r="B1" s="6" t="inlineStr">
        <is>
          <t>Agent Name</t>
        </is>
      </c>
      <c r="C1" s="6" t="inlineStr">
        <is>
          <t>User</t>
        </is>
      </c>
      <c r="D1" s="6" t="inlineStr">
        <is>
          <t>Billing Policy</t>
        </is>
      </c>
      <c r="E1" s="6" t="inlineStr">
        <is>
          <t>Credits Consumed</t>
        </is>
      </c>
      <c r="F1" s="6" t="inlineStr">
        <is>
          <t>Estimated Cost (USD)</t>
        </is>
      </c>
      <c r="G1" s="6" t="inlineStr">
        <is>
          <t>Allocated Azure Cost (USD)</t>
        </is>
      </c>
      <c r="H1" s="6" t="inlineStr">
        <is>
          <t>Billed Credits</t>
        </is>
      </c>
      <c r="I1" s="6" t="inlineStr">
        <is>
          <t>Non-billable Credits</t>
        </is>
      </c>
      <c r="J1" s="6" t="inlineStr">
        <is>
          <t>Environment</t>
        </is>
      </c>
      <c r="K1" s="6" t="inlineStr">
        <is>
          <t>Funding Source</t>
        </is>
      </c>
      <c r="L1" s="6" t="inlineStr">
        <is>
          <t>Department</t>
        </is>
      </c>
      <c r="M1" s="6" t="inlineStr">
        <is>
          <t>Product</t>
        </is>
      </c>
      <c r="N1" s="6" t="inlineStr">
        <is>
          <t>Agent ID</t>
        </is>
      </c>
      <c r="O1" s="6" t="inlineStr">
        <is>
          <t>User ID</t>
        </is>
      </c>
      <c r="P1" s="6" t="inlineStr">
        <is>
          <t>Environment ID</t>
        </is>
      </c>
    </row>
    <row r="2">
      <c r="A2" s="4" t="n">
        <v>46294</v>
      </c>
      <c r="B2" s="2" t="inlineStr">
        <is>
          <t>Finance Q&amp;A</t>
        </is>
      </c>
      <c r="C2" s="2" t="inlineStr">
        <is>
          <t>dana@contoso.com</t>
        </is>
      </c>
      <c r="D2" s="2" t="inlineStr">
        <is>
          <t>(none)</t>
        </is>
      </c>
      <c r="E2" s="8">
        <f>H2+I2</f>
        <v/>
      </c>
      <c r="F2" s="9">
        <f>H2*Settings!$B$3</f>
        <v/>
      </c>
      <c r="G2" s="9">
        <f>IFERROR(SUMIFS('Reconciliation'!$E$3:$E$8,'Reconciliation'!$A$3:$A$8,$A2,'Reconciliation'!$B$3:$B$8,$D2)*$H2/SUMIFS('Agent-User Daily'!$H$2:$H$8,'Agent-User Daily'!$A$2:$A$8,$A2,'Agent-User Daily'!$D$2:$D$8,$D2),0)</f>
        <v/>
      </c>
      <c r="H2" s="8" t="n">
        <v>40</v>
      </c>
      <c r="I2" s="8" t="n">
        <v>0</v>
      </c>
      <c r="J2" s="2" t="inlineStr">
        <is>
          <t>Finance Sandbox</t>
        </is>
      </c>
      <c r="K2" s="2" t="inlineStr">
        <is>
          <t>Prepaid capacity</t>
        </is>
      </c>
      <c r="L2" s="2" t="inlineStr">
        <is>
          <t>Finance</t>
        </is>
      </c>
      <c r="M2" s="2" t="inlineStr">
        <is>
          <t>Copilot Studio</t>
        </is>
      </c>
      <c r="N2" s="2" t="inlineStr">
        <is>
          <t>agent-fin-0001</t>
        </is>
      </c>
      <c r="O2" s="2" t="inlineStr">
        <is>
          <t>u-dana</t>
        </is>
      </c>
      <c r="P2" s="2" t="inlineStr">
        <is>
          <t>env-fin</t>
        </is>
      </c>
    </row>
    <row r="3">
      <c r="A3" s="4" t="n">
        <v>46294</v>
      </c>
      <c r="B3" s="2" t="inlineStr">
        <is>
          <t>HR Assistant</t>
        </is>
      </c>
      <c r="C3" s="2" t="inlineStr">
        <is>
          <t>carol@contoso.com</t>
        </is>
      </c>
      <c r="D3" s="2" t="inlineStr">
        <is>
          <t>HR-PAYG</t>
        </is>
      </c>
      <c r="E3" s="8">
        <f>H3+I3</f>
        <v/>
      </c>
      <c r="F3" s="9">
        <f>H3*Settings!$B$3</f>
        <v/>
      </c>
      <c r="G3" s="9">
        <f>IFERROR(SUMIFS('Reconciliation'!$E$3:$E$8,'Reconciliation'!$A$3:$A$8,$A3,'Reconciliation'!$B$3:$B$8,$D3)*$H3/SUMIFS('Agent-User Daily'!$H$2:$H$8,'Agent-User Daily'!$A$2:$A$8,$A3,'Agent-User Daily'!$D$2:$D$8,$D3),0)</f>
        <v/>
      </c>
      <c r="H3" s="8" t="n">
        <v>0</v>
      </c>
      <c r="I3" s="8" t="n">
        <v>12</v>
      </c>
      <c r="J3" s="2" t="inlineStr">
        <is>
          <t>HR Production</t>
        </is>
      </c>
      <c r="K3" s="2" t="inlineStr">
        <is>
          <t>Non-billable</t>
        </is>
      </c>
      <c r="L3" s="2" t="inlineStr">
        <is>
          <t>Human Resources</t>
        </is>
      </c>
      <c r="M3" s="2" t="inlineStr">
        <is>
          <t>Copilot Studio</t>
        </is>
      </c>
      <c r="N3" s="2" t="inlineStr">
        <is>
          <t>agent-hr-0001</t>
        </is>
      </c>
      <c r="O3" s="2" t="inlineStr">
        <is>
          <t>u-carol</t>
        </is>
      </c>
      <c r="P3" s="2" t="inlineStr">
        <is>
          <t>env-hr</t>
        </is>
      </c>
    </row>
    <row r="4">
      <c r="A4" s="4" t="n">
        <v>46295</v>
      </c>
      <c r="B4" s="2" t="inlineStr">
        <is>
          <t>HR Assistant</t>
        </is>
      </c>
      <c r="C4" s="2" t="inlineStr">
        <is>
          <t>alice@contoso.com</t>
        </is>
      </c>
      <c r="D4" s="2" t="inlineStr">
        <is>
          <t>HR-PAYG</t>
        </is>
      </c>
      <c r="E4" s="8">
        <f>H4+I4</f>
        <v/>
      </c>
      <c r="F4" s="9">
        <f>H4*Settings!$B$3</f>
        <v/>
      </c>
      <c r="G4" s="9">
        <f>IFERROR(SUMIFS('Reconciliation'!$E$3:$E$8,'Reconciliation'!$A$3:$A$8,$A4,'Reconciliation'!$B$3:$B$8,$D4)*$H4/SUMIFS('Agent-User Daily'!$H$2:$H$8,'Agent-User Daily'!$A$2:$A$8,$A4,'Agent-User Daily'!$D$2:$D$8,$D4),0)</f>
        <v/>
      </c>
      <c r="H4" s="8" t="n">
        <v>125</v>
      </c>
      <c r="I4" s="8" t="n">
        <v>0</v>
      </c>
      <c r="J4" s="2" t="inlineStr">
        <is>
          <t>HR Production</t>
        </is>
      </c>
      <c r="K4" s="2" t="inlineStr">
        <is>
          <t>PAYG</t>
        </is>
      </c>
      <c r="L4" s="2" t="inlineStr">
        <is>
          <t>Human Resources</t>
        </is>
      </c>
      <c r="M4" s="2" t="inlineStr">
        <is>
          <t>Copilot Studio</t>
        </is>
      </c>
      <c r="N4" s="2" t="inlineStr">
        <is>
          <t>agent-hr-0001</t>
        </is>
      </c>
      <c r="O4" s="2" t="inlineStr">
        <is>
          <t>u-alice</t>
        </is>
      </c>
      <c r="P4" s="2" t="inlineStr">
        <is>
          <t>env-hr</t>
        </is>
      </c>
    </row>
    <row r="5">
      <c r="A5" s="4" t="n">
        <v>46295</v>
      </c>
      <c r="B5" s="2" t="inlineStr">
        <is>
          <t>HR Assistant</t>
        </is>
      </c>
      <c r="C5" s="2" t="inlineStr">
        <is>
          <t>bob@contoso.com</t>
        </is>
      </c>
      <c r="D5" s="2" t="inlineStr">
        <is>
          <t>HR-PAYG</t>
        </is>
      </c>
      <c r="E5" s="8">
        <f>H5+I5</f>
        <v/>
      </c>
      <c r="F5" s="9">
        <f>H5*Settings!$B$3</f>
        <v/>
      </c>
      <c r="G5" s="9">
        <f>IFERROR(SUMIFS('Reconciliation'!$E$3:$E$8,'Reconciliation'!$A$3:$A$8,$A5,'Reconciliation'!$B$3:$B$8,$D5)*$H5/SUMIFS('Agent-User Daily'!$H$2:$H$8,'Agent-User Daily'!$A$2:$A$8,$A5,'Agent-User Daily'!$D$2:$D$8,$D5),0)</f>
        <v/>
      </c>
      <c r="H5" s="8" t="n">
        <v>87</v>
      </c>
      <c r="I5" s="8" t="n">
        <v>0</v>
      </c>
      <c r="J5" s="2" t="inlineStr">
        <is>
          <t>HR Production</t>
        </is>
      </c>
      <c r="K5" s="2" t="inlineStr">
        <is>
          <t>PAYG</t>
        </is>
      </c>
      <c r="L5" s="2" t="inlineStr">
        <is>
          <t>Human Resources</t>
        </is>
      </c>
      <c r="M5" s="2" t="inlineStr">
        <is>
          <t>Copilot Studio</t>
        </is>
      </c>
      <c r="N5" s="2" t="inlineStr">
        <is>
          <t>agent-hr-0001</t>
        </is>
      </c>
      <c r="O5" s="2" t="inlineStr">
        <is>
          <t>u-bob</t>
        </is>
      </c>
      <c r="P5" s="2" t="inlineStr">
        <is>
          <t>env-hr</t>
        </is>
      </c>
    </row>
    <row r="6">
      <c r="A6" s="4" t="n">
        <v>46295</v>
      </c>
      <c r="B6" s="2" t="inlineStr">
        <is>
          <t>IT Helpdesk Agent</t>
        </is>
      </c>
      <c r="C6" s="2" t="inlineStr">
        <is>
          <t>helpdesk@contoso.com</t>
        </is>
      </c>
      <c r="D6" s="2" t="inlineStr">
        <is>
          <t>IT-PAYG</t>
        </is>
      </c>
      <c r="E6" s="8">
        <f>H6+I6</f>
        <v/>
      </c>
      <c r="F6" s="9">
        <f>H6*Settings!$B$3</f>
        <v/>
      </c>
      <c r="G6" s="9">
        <f>IFERROR(SUMIFS('Reconciliation'!$E$3:$E$8,'Reconciliation'!$A$3:$A$8,$A6,'Reconciliation'!$B$3:$B$8,$D6)*$H6/SUMIFS('Agent-User Daily'!$H$2:$H$8,'Agent-User Daily'!$A$2:$A$8,$A6,'Agent-User Daily'!$D$2:$D$8,$D6),0)</f>
        <v/>
      </c>
      <c r="H6" s="8" t="n">
        <v>980</v>
      </c>
      <c r="I6" s="8" t="n">
        <v>0</v>
      </c>
      <c r="J6" s="2" t="inlineStr">
        <is>
          <t>IT Production</t>
        </is>
      </c>
      <c r="K6" s="2" t="inlineStr">
        <is>
          <t>PAYG</t>
        </is>
      </c>
      <c r="L6" s="2" t="inlineStr">
        <is>
          <t>IT</t>
        </is>
      </c>
      <c r="M6" s="2" t="inlineStr">
        <is>
          <t>Copilot Studio</t>
        </is>
      </c>
      <c r="N6" s="2" t="inlineStr">
        <is>
          <t>agent-it-0001</t>
        </is>
      </c>
      <c r="O6" s="2" t="inlineStr">
        <is>
          <t>u-helpdesk</t>
        </is>
      </c>
      <c r="P6" s="2" t="inlineStr">
        <is>
          <t>env-it</t>
        </is>
      </c>
    </row>
    <row r="7">
      <c r="A7" s="4" t="n">
        <v>46295</v>
      </c>
      <c r="B7" s="2" t="inlineStr">
        <is>
          <t>Sales Assistant</t>
        </is>
      </c>
      <c r="C7" s="2" t="inlineStr">
        <is>
          <t>john@contoso.com</t>
        </is>
      </c>
      <c r="D7" s="2" t="inlineStr">
        <is>
          <t>SALES-PAYG</t>
        </is>
      </c>
      <c r="E7" s="8">
        <f>H7+I7</f>
        <v/>
      </c>
      <c r="F7" s="9">
        <f>H7*Settings!$B$3</f>
        <v/>
      </c>
      <c r="G7" s="9">
        <f>IFERROR(SUMIFS('Reconciliation'!$E$3:$E$8,'Reconciliation'!$A$3:$A$8,$A7,'Reconciliation'!$B$3:$B$8,$D7)*$H7/SUMIFS('Agent-User Daily'!$H$2:$H$8,'Agent-User Daily'!$A$2:$A$8,$A7,'Agent-User Daily'!$D$2:$D$8,$D7),0)</f>
        <v/>
      </c>
      <c r="H7" s="8" t="n">
        <v>320</v>
      </c>
      <c r="I7" s="8" t="n">
        <v>0</v>
      </c>
      <c r="J7" s="2" t="inlineStr">
        <is>
          <t>Sales Production</t>
        </is>
      </c>
      <c r="K7" s="2" t="inlineStr">
        <is>
          <t>PAYG</t>
        </is>
      </c>
      <c r="L7" s="2" t="inlineStr">
        <is>
          <t>Sales</t>
        </is>
      </c>
      <c r="M7" s="2" t="inlineStr">
        <is>
          <t>Copilot Studio</t>
        </is>
      </c>
      <c r="N7" s="2" t="inlineStr">
        <is>
          <t>agent-sales-0001</t>
        </is>
      </c>
      <c r="O7" s="2" t="inlineStr">
        <is>
          <t>u-john</t>
        </is>
      </c>
      <c r="P7" s="2" t="inlineStr">
        <is>
          <t>env-sales</t>
        </is>
      </c>
    </row>
    <row r="8">
      <c r="A8" s="4" t="n">
        <v>46295</v>
      </c>
      <c r="B8" s="2" t="inlineStr">
        <is>
          <t>Sales Assistant</t>
        </is>
      </c>
      <c r="C8" s="2" t="inlineStr">
        <is>
          <t>mary@contoso.com</t>
        </is>
      </c>
      <c r="D8" s="2" t="inlineStr">
        <is>
          <t>SALES-PAYG</t>
        </is>
      </c>
      <c r="E8" s="8">
        <f>H8+I8</f>
        <v/>
      </c>
      <c r="F8" s="9">
        <f>H8*Settings!$B$3</f>
        <v/>
      </c>
      <c r="G8" s="9">
        <f>IFERROR(SUMIFS('Reconciliation'!$E$3:$E$8,'Reconciliation'!$A$3:$A$8,$A8,'Reconciliation'!$B$3:$B$8,$D8)*$H8/SUMIFS('Agent-User Daily'!$H$2:$H$8,'Agent-User Daily'!$A$2:$A$8,$A8,'Agent-User Daily'!$D$2:$D$8,$D8),0)</f>
        <v/>
      </c>
      <c r="H8" s="8" t="n">
        <v>145</v>
      </c>
      <c r="I8" s="8" t="n">
        <v>0</v>
      </c>
      <c r="J8" s="2" t="inlineStr">
        <is>
          <t>Sales Production</t>
        </is>
      </c>
      <c r="K8" s="2" t="inlineStr">
        <is>
          <t>PAYG</t>
        </is>
      </c>
      <c r="L8" s="2" t="inlineStr">
        <is>
          <t>Sales</t>
        </is>
      </c>
      <c r="M8" s="2" t="inlineStr">
        <is>
          <t>Copilot Studio</t>
        </is>
      </c>
      <c r="N8" s="2" t="inlineStr">
        <is>
          <t>agent-sales-0001</t>
        </is>
      </c>
      <c r="O8" s="2" t="inlineStr">
        <is>
          <t>u-mary</t>
        </is>
      </c>
      <c r="P8" s="2" t="inlineStr">
        <is>
          <t>env-sales</t>
        </is>
      </c>
    </row>
  </sheetData>
  <autoFilter ref="A1:P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6" customWidth="1" min="4" max="4"/>
    <col width="24" customWidth="1" min="5" max="5"/>
    <col width="12" customWidth="1" min="6" max="6"/>
    <col width="13" customWidth="1" min="7" max="7"/>
    <col width="14" customWidth="1" min="8" max="8"/>
    <col width="9" customWidth="1" min="9" max="9"/>
    <col width="13" customWidth="1" min="10" max="10"/>
    <col width="18" customWidth="1" min="11" max="11"/>
    <col width="38" customWidth="1" min="12" max="12"/>
    <col width="38" customWidth="1" min="13" max="13"/>
    <col width="30" customWidth="1" min="14" max="14"/>
  </cols>
  <sheetData>
    <row r="1">
      <c r="A1" s="6" t="inlineStr">
        <is>
          <t>Period Start</t>
        </is>
      </c>
      <c r="B1" s="6" t="inlineStr">
        <is>
          <t>Period End</t>
        </is>
      </c>
      <c r="C1" s="6" t="inlineStr">
        <is>
          <t>Agent Name</t>
        </is>
      </c>
      <c r="D1" s="6" t="inlineStr">
        <is>
          <t>User</t>
        </is>
      </c>
      <c r="E1" s="6" t="inlineStr">
        <is>
          <t>Billing Policy</t>
        </is>
      </c>
      <c r="F1" s="6" t="inlineStr">
        <is>
          <t>Credits</t>
        </is>
      </c>
      <c r="G1" s="6" t="inlineStr">
        <is>
          <t>Estimated Cost (USD)</t>
        </is>
      </c>
      <c r="H1" s="6" t="inlineStr">
        <is>
          <t>Allocated Azure Cost (USD)</t>
        </is>
      </c>
      <c r="I1" s="6" t="inlineStr">
        <is>
          <t>Window (days)</t>
        </is>
      </c>
      <c r="J1" s="6" t="inlineStr">
        <is>
          <t>Last Activity (UTC)</t>
        </is>
      </c>
      <c r="K1" s="6" t="inlineStr">
        <is>
          <t>Department</t>
        </is>
      </c>
      <c r="L1" s="6" t="inlineStr">
        <is>
          <t>Agent ID</t>
        </is>
      </c>
      <c r="M1" s="6" t="inlineStr">
        <is>
          <t>Billing Policy ID</t>
        </is>
      </c>
      <c r="N1" s="6" t="inlineStr">
        <is>
          <t>Source File</t>
        </is>
      </c>
    </row>
    <row r="2">
      <c r="A2" s="4" t="n">
        <v>46289</v>
      </c>
      <c r="B2" s="4" t="n">
        <v>46295</v>
      </c>
      <c r="C2" s="2" t="inlineStr">
        <is>
          <t>Policy Finder</t>
        </is>
      </c>
      <c r="D2" s="2" t="inlineStr">
        <is>
          <t>dana@contoso.com</t>
        </is>
      </c>
      <c r="E2" s="2" t="inlineStr">
        <is>
          <t>M365-HR-PAYG</t>
        </is>
      </c>
      <c r="F2" s="8" t="n">
        <v>36</v>
      </c>
      <c r="G2" s="9">
        <f>F2*Settings!$B$3</f>
        <v/>
      </c>
      <c r="H2" s="9">
        <f>IFERROR(SUMIFS('Reconciliation'!$E$3:$E$8,'Reconciliation'!$B$3:$B$8,$E2,'Reconciliation'!$A$3:$A$8,"&gt;="&amp;$A2,'Reconciliation'!$A$3:$A$8,"&lt;="&amp;$B2)*$F2/SUMIFS('M365 Copilot Chat'!$F$2:$F$5,'M365 Copilot Chat'!$E$2:$E$5,$E2,'M365 Copilot Chat'!$A$2:$A$5,$A2,'M365 Copilot Chat'!$B$2:$B$5,$B2),0)</f>
        <v/>
      </c>
      <c r="I2" s="13" t="n">
        <v>7</v>
      </c>
      <c r="J2" s="4" t="n">
        <v>46295</v>
      </c>
      <c r="K2" s="2" t="inlineStr">
        <is>
          <t>Finance</t>
        </is>
      </c>
      <c r="L2" s="2" t="inlineStr">
        <is>
          <t>P_11111111-aaaa-4bbb-8ccc-000000000002</t>
        </is>
      </c>
      <c r="M2" s="2" t="inlineStr">
        <is>
          <t>00000000-0000-4000-8000-0000000000a1</t>
        </is>
      </c>
      <c r="N2" s="2" t="inlineStr">
        <is>
          <t>m365_credits_users_and_agents_sample.csv</t>
        </is>
      </c>
    </row>
    <row r="3">
      <c r="A3" s="4" t="n">
        <v>46289</v>
      </c>
      <c r="B3" s="4" t="n">
        <v>46295</v>
      </c>
      <c r="C3" s="2" t="inlineStr">
        <is>
          <t>Policy Finder</t>
        </is>
      </c>
      <c r="D3" s="2" t="inlineStr">
        <is>
          <t>farah@contoso.com</t>
        </is>
      </c>
      <c r="E3" s="2" t="inlineStr">
        <is>
          <t>M365-SALES-PAYG</t>
        </is>
      </c>
      <c r="F3" s="8" t="n">
        <v>60</v>
      </c>
      <c r="G3" s="9">
        <f>F3*Settings!$B$3</f>
        <v/>
      </c>
      <c r="H3" s="9">
        <f>IFERROR(SUMIFS('Reconciliation'!$E$3:$E$8,'Reconciliation'!$B$3:$B$8,$E3,'Reconciliation'!$A$3:$A$8,"&gt;="&amp;$A3,'Reconciliation'!$A$3:$A$8,"&lt;="&amp;$B3)*$F3/SUMIFS('M365 Copilot Chat'!$F$2:$F$5,'M365 Copilot Chat'!$E$2:$E$5,$E3,'M365 Copilot Chat'!$A$2:$A$5,$A3,'M365 Copilot Chat'!$B$2:$B$5,$B3),0)</f>
        <v/>
      </c>
      <c r="I3" s="13" t="n">
        <v>7</v>
      </c>
      <c r="J3" s="4" t="n">
        <v>46293</v>
      </c>
      <c r="K3" s="2" t="inlineStr">
        <is>
          <t>Sales</t>
        </is>
      </c>
      <c r="L3" s="2" t="inlineStr">
        <is>
          <t>P_11111111-aaaa-4bbb-8ccc-000000000002</t>
        </is>
      </c>
      <c r="M3" s="2" t="inlineStr">
        <is>
          <t>00000000-0000-4000-8000-0000000000b2</t>
        </is>
      </c>
      <c r="N3" s="2" t="inlineStr">
        <is>
          <t>m365_credits_users_and_agents_sample.csv</t>
        </is>
      </c>
    </row>
    <row r="4">
      <c r="A4" s="4" t="n">
        <v>46289</v>
      </c>
      <c r="B4" s="4" t="n">
        <v>46295</v>
      </c>
      <c r="C4" s="2" t="inlineStr">
        <is>
          <t>Writing Coach</t>
        </is>
      </c>
      <c r="D4" s="2" t="inlineStr">
        <is>
          <t>dana@contoso.com</t>
        </is>
      </c>
      <c r="E4" s="2" t="inlineStr">
        <is>
          <t>M365-HR-PAYG</t>
        </is>
      </c>
      <c r="F4" s="8" t="n">
        <v>48</v>
      </c>
      <c r="G4" s="9">
        <f>F4*Settings!$B$3</f>
        <v/>
      </c>
      <c r="H4" s="9">
        <f>IFERROR(SUMIFS('Reconciliation'!$E$3:$E$8,'Reconciliation'!$B$3:$B$8,$E4,'Reconciliation'!$A$3:$A$8,"&gt;="&amp;$A4,'Reconciliation'!$A$3:$A$8,"&lt;="&amp;$B4)*$F4/SUMIFS('M365 Copilot Chat'!$F$2:$F$5,'M365 Copilot Chat'!$E$2:$E$5,$E4,'M365 Copilot Chat'!$A$2:$A$5,$A4,'M365 Copilot Chat'!$B$2:$B$5,$B4),0)</f>
        <v/>
      </c>
      <c r="I4" s="13" t="n">
        <v>7</v>
      </c>
      <c r="J4" s="4" t="n">
        <v>46294</v>
      </c>
      <c r="K4" s="2" t="inlineStr">
        <is>
          <t>Finance</t>
        </is>
      </c>
      <c r="L4" s="2" t="inlineStr">
        <is>
          <t>P_11111111-aaaa-4bbb-8ccc-000000000001</t>
        </is>
      </c>
      <c r="M4" s="2" t="inlineStr">
        <is>
          <t>00000000-0000-4000-8000-0000000000a1</t>
        </is>
      </c>
      <c r="N4" s="2" t="inlineStr">
        <is>
          <t>m365_credits_users_and_agents_sample.csv</t>
        </is>
      </c>
    </row>
    <row r="5">
      <c r="A5" s="4" t="n">
        <v>46289</v>
      </c>
      <c r="B5" s="4" t="n">
        <v>46295</v>
      </c>
      <c r="C5" s="2" t="inlineStr">
        <is>
          <t>Writing Coach</t>
        </is>
      </c>
      <c r="D5" s="2" t="inlineStr">
        <is>
          <t>eli@contoso.com</t>
        </is>
      </c>
      <c r="E5" s="2" t="inlineStr">
        <is>
          <t>M365-HR-PAYG</t>
        </is>
      </c>
      <c r="F5" s="8" t="n">
        <v>24</v>
      </c>
      <c r="G5" s="9">
        <f>F5*Settings!$B$3</f>
        <v/>
      </c>
      <c r="H5" s="9">
        <f>IFERROR(SUMIFS('Reconciliation'!$E$3:$E$8,'Reconciliation'!$B$3:$B$8,$E5,'Reconciliation'!$A$3:$A$8,"&gt;="&amp;$A5,'Reconciliation'!$A$3:$A$8,"&lt;="&amp;$B5)*$F5/SUMIFS('M365 Copilot Chat'!$F$2:$F$5,'M365 Copilot Chat'!$E$2:$E$5,$E5,'M365 Copilot Chat'!$A$2:$A$5,$A5,'M365 Copilot Chat'!$B$2:$B$5,$B5),0)</f>
        <v/>
      </c>
      <c r="I5" s="13" t="n">
        <v>7</v>
      </c>
      <c r="J5" s="4" t="n">
        <v>46292</v>
      </c>
      <c r="K5" s="2" t="inlineStr">
        <is>
          <t>Marketing</t>
        </is>
      </c>
      <c r="L5" s="2" t="inlineStr">
        <is>
          <t>P_11111111-aaaa-4bbb-8ccc-000000000001</t>
        </is>
      </c>
      <c r="M5" s="2" t="inlineStr">
        <is>
          <t>00000000-0000-4000-8000-0000000000a1</t>
        </is>
      </c>
      <c r="N5" s="2" t="inlineStr">
        <is>
          <t>m365_credits_users_and_agents_sample.csv</t>
        </is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6" customWidth="1" min="4" max="4"/>
    <col width="24" customWidth="1" min="5" max="5"/>
    <col width="13" customWidth="1" min="6" max="6"/>
    <col width="12" customWidth="1" min="7" max="7"/>
    <col width="13" customWidth="1" min="8" max="8"/>
    <col width="13" customWidth="1" min="9" max="9"/>
    <col width="38" customWidth="1" min="10" max="10"/>
    <col width="38" customWidth="1" min="11" max="11"/>
  </cols>
  <sheetData>
    <row r="1">
      <c r="A1" s="6" t="inlineStr">
        <is>
          <t>Date</t>
        </is>
      </c>
      <c r="B1" s="6" t="inlineStr">
        <is>
          <t>Environment</t>
        </is>
      </c>
      <c r="C1" s="6" t="inlineStr">
        <is>
          <t>Agent Name</t>
        </is>
      </c>
      <c r="D1" s="6" t="inlineStr">
        <is>
          <t>User</t>
        </is>
      </c>
      <c r="E1" s="6" t="inlineStr">
        <is>
          <t>Feature</t>
        </is>
      </c>
      <c r="F1" s="6" t="inlineStr">
        <is>
          <t>Credits Consumed</t>
        </is>
      </c>
      <c r="G1" s="6" t="inlineStr">
        <is>
          <t>Billed Credits</t>
        </is>
      </c>
      <c r="H1" s="6" t="inlineStr">
        <is>
          <t>Non-billable Credits</t>
        </is>
      </c>
      <c r="I1" s="6" t="inlineStr">
        <is>
          <t>Estimated Cost (USD)</t>
        </is>
      </c>
      <c r="J1" s="6" t="inlineStr">
        <is>
          <t>Agent ID</t>
        </is>
      </c>
      <c r="K1" s="6" t="inlineStr">
        <is>
          <t>User ID</t>
        </is>
      </c>
    </row>
    <row r="2">
      <c r="A2" s="4" t="n">
        <v>46294</v>
      </c>
      <c r="B2" s="2" t="inlineStr">
        <is>
          <t>Finance Sandbox</t>
        </is>
      </c>
      <c r="C2" s="2" t="inlineStr">
        <is>
          <t>Finance Q&amp;A</t>
        </is>
      </c>
      <c r="D2" s="2" t="inlineStr">
        <is>
          <t>dana@contoso.com</t>
        </is>
      </c>
      <c r="E2" s="2" t="inlineStr">
        <is>
          <t>Generative answer</t>
        </is>
      </c>
      <c r="F2" s="8">
        <f>G2+H2</f>
        <v/>
      </c>
      <c r="G2" s="8" t="n">
        <v>40</v>
      </c>
      <c r="H2" s="8" t="n">
        <v>0</v>
      </c>
      <c r="I2" s="9">
        <f>G2*Settings!$B$3</f>
        <v/>
      </c>
      <c r="J2" s="2" t="inlineStr">
        <is>
          <t>agent-fin-0001</t>
        </is>
      </c>
      <c r="K2" s="2" t="inlineStr">
        <is>
          <t>u-dana</t>
        </is>
      </c>
    </row>
    <row r="3">
      <c r="A3" s="4" t="n">
        <v>46294</v>
      </c>
      <c r="B3" s="2" t="inlineStr">
        <is>
          <t>HR Production</t>
        </is>
      </c>
      <c r="C3" s="2" t="inlineStr">
        <is>
          <t>HR Assistant</t>
        </is>
      </c>
      <c r="D3" s="2" t="inlineStr">
        <is>
          <t>carol@contoso.com</t>
        </is>
      </c>
      <c r="E3" s="2" t="inlineStr">
        <is>
          <t>Generative answer</t>
        </is>
      </c>
      <c r="F3" s="8">
        <f>G3+H3</f>
        <v/>
      </c>
      <c r="G3" s="8" t="n">
        <v>0</v>
      </c>
      <c r="H3" s="8" t="n">
        <v>12</v>
      </c>
      <c r="I3" s="9">
        <f>G3*Settings!$B$3</f>
        <v/>
      </c>
      <c r="J3" s="2" t="inlineStr">
        <is>
          <t>agent-hr-0001</t>
        </is>
      </c>
      <c r="K3" s="2" t="inlineStr">
        <is>
          <t>u-carol</t>
        </is>
      </c>
    </row>
    <row r="4">
      <c r="A4" s="4" t="n">
        <v>46295</v>
      </c>
      <c r="B4" s="2" t="inlineStr">
        <is>
          <t>HR Production</t>
        </is>
      </c>
      <c r="C4" s="2" t="inlineStr">
        <is>
          <t>HR Assistant</t>
        </is>
      </c>
      <c r="D4" s="2" t="inlineStr">
        <is>
          <t>alice@contoso.com</t>
        </is>
      </c>
      <c r="E4" s="2" t="inlineStr">
        <is>
          <t>Classic answer</t>
        </is>
      </c>
      <c r="F4" s="8">
        <f>G4+H4</f>
        <v/>
      </c>
      <c r="G4" s="8" t="n">
        <v>25</v>
      </c>
      <c r="H4" s="8" t="n">
        <v>0</v>
      </c>
      <c r="I4" s="9">
        <f>G4*Settings!$B$3</f>
        <v/>
      </c>
      <c r="J4" s="2" t="inlineStr">
        <is>
          <t>agent-hr-0001</t>
        </is>
      </c>
      <c r="K4" s="2" t="inlineStr">
        <is>
          <t>u-alice</t>
        </is>
      </c>
    </row>
    <row r="5">
      <c r="A5" s="4" t="n">
        <v>46295</v>
      </c>
      <c r="B5" s="2" t="inlineStr">
        <is>
          <t>HR Production</t>
        </is>
      </c>
      <c r="C5" s="2" t="inlineStr">
        <is>
          <t>HR Assistant</t>
        </is>
      </c>
      <c r="D5" s="2" t="inlineStr">
        <is>
          <t>alice@contoso.com</t>
        </is>
      </c>
      <c r="E5" s="2" t="inlineStr">
        <is>
          <t>Generative answer</t>
        </is>
      </c>
      <c r="F5" s="8">
        <f>G5+H5</f>
        <v/>
      </c>
      <c r="G5" s="8" t="n">
        <v>100</v>
      </c>
      <c r="H5" s="8" t="n">
        <v>0</v>
      </c>
      <c r="I5" s="9">
        <f>G5*Settings!$B$3</f>
        <v/>
      </c>
      <c r="J5" s="2" t="inlineStr">
        <is>
          <t>agent-hr-0001</t>
        </is>
      </c>
      <c r="K5" s="2" t="inlineStr">
        <is>
          <t>u-alice</t>
        </is>
      </c>
    </row>
    <row r="6">
      <c r="A6" s="4" t="n">
        <v>46295</v>
      </c>
      <c r="B6" s="2" t="inlineStr">
        <is>
          <t>HR Production</t>
        </is>
      </c>
      <c r="C6" s="2" t="inlineStr">
        <is>
          <t>HR Assistant</t>
        </is>
      </c>
      <c r="D6" s="2" t="inlineStr">
        <is>
          <t>bob@contoso.com</t>
        </is>
      </c>
      <c r="E6" s="2" t="inlineStr">
        <is>
          <t>Classic answer</t>
        </is>
      </c>
      <c r="F6" s="8">
        <f>G6+H6</f>
        <v/>
      </c>
      <c r="G6" s="8" t="n">
        <v>47</v>
      </c>
      <c r="H6" s="8" t="n">
        <v>0</v>
      </c>
      <c r="I6" s="9">
        <f>G6*Settings!$B$3</f>
        <v/>
      </c>
      <c r="J6" s="2" t="inlineStr">
        <is>
          <t>agent-hr-0001</t>
        </is>
      </c>
      <c r="K6" s="2" t="inlineStr">
        <is>
          <t>u-bob</t>
        </is>
      </c>
    </row>
    <row r="7">
      <c r="A7" s="4" t="n">
        <v>46295</v>
      </c>
      <c r="B7" s="2" t="inlineStr">
        <is>
          <t>HR Production</t>
        </is>
      </c>
      <c r="C7" s="2" t="inlineStr">
        <is>
          <t>HR Assistant</t>
        </is>
      </c>
      <c r="D7" s="2" t="inlineStr">
        <is>
          <t>bob@contoso.com</t>
        </is>
      </c>
      <c r="E7" s="2" t="inlineStr">
        <is>
          <t>Generative answer</t>
        </is>
      </c>
      <c r="F7" s="8">
        <f>G7+H7</f>
        <v/>
      </c>
      <c r="G7" s="8" t="n">
        <v>40</v>
      </c>
      <c r="H7" s="8" t="n">
        <v>0</v>
      </c>
      <c r="I7" s="9">
        <f>G7*Settings!$B$3</f>
        <v/>
      </c>
      <c r="J7" s="2" t="inlineStr">
        <is>
          <t>agent-hr-0001</t>
        </is>
      </c>
      <c r="K7" s="2" t="inlineStr">
        <is>
          <t>u-bob</t>
        </is>
      </c>
    </row>
    <row r="8">
      <c r="A8" s="4" t="n">
        <v>46295</v>
      </c>
      <c r="B8" s="2" t="inlineStr">
        <is>
          <t>IT Production</t>
        </is>
      </c>
      <c r="C8" s="2" t="inlineStr">
        <is>
          <t>IT Helpdesk Agent</t>
        </is>
      </c>
      <c r="D8" s="2" t="inlineStr">
        <is>
          <t>helpdesk@contoso.com</t>
        </is>
      </c>
      <c r="E8" s="2" t="inlineStr">
        <is>
          <t>Generative answer</t>
        </is>
      </c>
      <c r="F8" s="8">
        <f>G8+H8</f>
        <v/>
      </c>
      <c r="G8" s="8" t="n">
        <v>280</v>
      </c>
      <c r="H8" s="8" t="n">
        <v>0</v>
      </c>
      <c r="I8" s="9">
        <f>G8*Settings!$B$3</f>
        <v/>
      </c>
      <c r="J8" s="2" t="inlineStr">
        <is>
          <t>agent-it-0001</t>
        </is>
      </c>
      <c r="K8" s="2" t="inlineStr">
        <is>
          <t>u-helpdesk</t>
        </is>
      </c>
    </row>
    <row r="9">
      <c r="A9" s="4" t="n">
        <v>46295</v>
      </c>
      <c r="B9" s="2" t="inlineStr">
        <is>
          <t>IT Production</t>
        </is>
      </c>
      <c r="C9" s="2" t="inlineStr">
        <is>
          <t>IT Helpdesk Agent</t>
        </is>
      </c>
      <c r="D9" s="2" t="inlineStr">
        <is>
          <t>helpdesk@contoso.com</t>
        </is>
      </c>
      <c r="E9" s="2" t="inlineStr">
        <is>
          <t>Tenant graph grounding</t>
        </is>
      </c>
      <c r="F9" s="8">
        <f>G9+H9</f>
        <v/>
      </c>
      <c r="G9" s="8" t="n">
        <v>700</v>
      </c>
      <c r="H9" s="8" t="n">
        <v>0</v>
      </c>
      <c r="I9" s="9">
        <f>G9*Settings!$B$3</f>
        <v/>
      </c>
      <c r="J9" s="2" t="inlineStr">
        <is>
          <t>agent-it-0001</t>
        </is>
      </c>
      <c r="K9" s="2" t="inlineStr">
        <is>
          <t>u-helpdesk</t>
        </is>
      </c>
    </row>
    <row r="10">
      <c r="A10" s="4" t="n">
        <v>46295</v>
      </c>
      <c r="B10" s="2" t="inlineStr">
        <is>
          <t>Sales Production</t>
        </is>
      </c>
      <c r="C10" s="2" t="inlineStr">
        <is>
          <t>Sales Assistant</t>
        </is>
      </c>
      <c r="D10" s="2" t="inlineStr">
        <is>
          <t>john@contoso.com</t>
        </is>
      </c>
      <c r="E10" s="2" t="inlineStr">
        <is>
          <t>Agent action</t>
        </is>
      </c>
      <c r="F10" s="8">
        <f>G10+H10</f>
        <v/>
      </c>
      <c r="G10" s="8" t="n">
        <v>250</v>
      </c>
      <c r="H10" s="8" t="n">
        <v>0</v>
      </c>
      <c r="I10" s="9">
        <f>G10*Settings!$B$3</f>
        <v/>
      </c>
      <c r="J10" s="2" t="inlineStr">
        <is>
          <t>agent-sales-0001</t>
        </is>
      </c>
      <c r="K10" s="2" t="inlineStr">
        <is>
          <t>u-john</t>
        </is>
      </c>
    </row>
    <row r="11">
      <c r="A11" s="4" t="n">
        <v>46295</v>
      </c>
      <c r="B11" s="2" t="inlineStr">
        <is>
          <t>Sales Production</t>
        </is>
      </c>
      <c r="C11" s="2" t="inlineStr">
        <is>
          <t>Sales Assistant</t>
        </is>
      </c>
      <c r="D11" s="2" t="inlineStr">
        <is>
          <t>john@contoso.com</t>
        </is>
      </c>
      <c r="E11" s="2" t="inlineStr">
        <is>
          <t>Generative answer</t>
        </is>
      </c>
      <c r="F11" s="8">
        <f>G11+H11</f>
        <v/>
      </c>
      <c r="G11" s="8" t="n">
        <v>70</v>
      </c>
      <c r="H11" s="8" t="n">
        <v>0</v>
      </c>
      <c r="I11" s="9">
        <f>G11*Settings!$B$3</f>
        <v/>
      </c>
      <c r="J11" s="2" t="inlineStr">
        <is>
          <t>agent-sales-0001</t>
        </is>
      </c>
      <c r="K11" s="2" t="inlineStr">
        <is>
          <t>u-john</t>
        </is>
      </c>
    </row>
    <row r="12">
      <c r="A12" s="4" t="n">
        <v>46295</v>
      </c>
      <c r="B12" s="2" t="inlineStr">
        <is>
          <t>Sales Production</t>
        </is>
      </c>
      <c r="C12" s="2" t="inlineStr">
        <is>
          <t>Sales Assistant</t>
        </is>
      </c>
      <c r="D12" s="2" t="inlineStr">
        <is>
          <t>mary@contoso.com</t>
        </is>
      </c>
      <c r="E12" s="2" t="inlineStr">
        <is>
          <t>Generative answer</t>
        </is>
      </c>
      <c r="F12" s="8">
        <f>G12+H12</f>
        <v/>
      </c>
      <c r="G12" s="8" t="n">
        <v>145</v>
      </c>
      <c r="H12" s="8" t="n">
        <v>0</v>
      </c>
      <c r="I12" s="9">
        <f>G12*Settings!$B$3</f>
        <v/>
      </c>
      <c r="J12" s="2" t="inlineStr">
        <is>
          <t>agent-sales-0001</t>
        </is>
      </c>
      <c r="K12" s="2" t="inlineStr">
        <is>
          <t>u-mary</t>
        </is>
      </c>
    </row>
  </sheetData>
  <autoFilter ref="A1:K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24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0" customWidth="1" min="10" max="10"/>
    <col width="38" customWidth="1" min="11" max="11"/>
  </cols>
  <sheetData>
    <row r="1">
      <c r="A1" s="6" t="inlineStr">
        <is>
          <t>Product</t>
        </is>
      </c>
      <c r="B1" s="6" t="inlineStr">
        <is>
          <t>Agent Name</t>
        </is>
      </c>
      <c r="C1" s="6" t="inlineStr">
        <is>
          <t>Environment</t>
        </is>
      </c>
      <c r="D1" s="6" t="inlineStr">
        <is>
          <t>Billing Policy</t>
        </is>
      </c>
      <c r="E1" s="6" t="inlineStr">
        <is>
          <t>Credits Consumed</t>
        </is>
      </c>
      <c r="F1" s="6" t="inlineStr">
        <is>
          <t>Billed Credits</t>
        </is>
      </c>
      <c r="G1" s="6" t="inlineStr">
        <is>
          <t>Non-billable Credits</t>
        </is>
      </c>
      <c r="H1" s="6" t="inlineStr">
        <is>
          <t>Estimated Cost (USD)</t>
        </is>
      </c>
      <c r="I1" s="6" t="inlineStr">
        <is>
          <t>Allocated Azure Cost (USD)</t>
        </is>
      </c>
      <c r="J1" s="6" t="inlineStr">
        <is>
          <t>Distinct Users</t>
        </is>
      </c>
      <c r="K1" s="6" t="inlineStr">
        <is>
          <t>Agent ID</t>
        </is>
      </c>
    </row>
    <row r="2">
      <c r="A2" s="2" t="inlineStr">
        <is>
          <t>Copilot Studio</t>
        </is>
      </c>
      <c r="B2" s="2" t="inlineStr">
        <is>
          <t>Finance Q&amp;A</t>
        </is>
      </c>
      <c r="C2" s="2" t="inlineStr">
        <is>
          <t>Finance Sandbox</t>
        </is>
      </c>
      <c r="D2" s="2" t="inlineStr">
        <is>
          <t>(none)</t>
        </is>
      </c>
      <c r="E2" s="7">
        <f>SUMIFS('Agent-User Daily'!$E$2:$E$8,'Agent-User Daily'!$N$2:$N$8,$K2)</f>
        <v/>
      </c>
      <c r="F2" s="7">
        <f>SUMIFS('Agent-User Daily'!$H$2:$H$8,'Agent-User Daily'!$N$2:$N$8,$K2)</f>
        <v/>
      </c>
      <c r="G2" s="7">
        <f>SUMIFS('Agent-User Daily'!$I$2:$I$8,'Agent-User Daily'!$N$2:$N$8,$K2)</f>
        <v/>
      </c>
      <c r="H2" s="9">
        <f>SUMIFS('Agent-User Daily'!$F$2:$F$8,'Agent-User Daily'!$N$2:$N$8,$K2)</f>
        <v/>
      </c>
      <c r="I2" s="9">
        <f>SUMIFS('Agent-User Daily'!$G$2:$G$8,'Agent-User Daily'!$N$2:$N$8,$K2)</f>
        <v/>
      </c>
      <c r="J2" s="13" t="n">
        <v>1</v>
      </c>
      <c r="K2" s="2" t="inlineStr">
        <is>
          <t>agent-fin-0001</t>
        </is>
      </c>
    </row>
    <row r="3">
      <c r="A3" s="2" t="inlineStr">
        <is>
          <t>Copilot Studio</t>
        </is>
      </c>
      <c r="B3" s="2" t="inlineStr">
        <is>
          <t>HR Assistant</t>
        </is>
      </c>
      <c r="C3" s="2" t="inlineStr">
        <is>
          <t>HR Production</t>
        </is>
      </c>
      <c r="D3" s="2" t="inlineStr">
        <is>
          <t>HR-PAYG</t>
        </is>
      </c>
      <c r="E3" s="7">
        <f>SUMIFS('Agent-User Daily'!$E$2:$E$8,'Agent-User Daily'!$N$2:$N$8,$K3)</f>
        <v/>
      </c>
      <c r="F3" s="7">
        <f>SUMIFS('Agent-User Daily'!$H$2:$H$8,'Agent-User Daily'!$N$2:$N$8,$K3)</f>
        <v/>
      </c>
      <c r="G3" s="7">
        <f>SUMIFS('Agent-User Daily'!$I$2:$I$8,'Agent-User Daily'!$N$2:$N$8,$K3)</f>
        <v/>
      </c>
      <c r="H3" s="9">
        <f>SUMIFS('Agent-User Daily'!$F$2:$F$8,'Agent-User Daily'!$N$2:$N$8,$K3)</f>
        <v/>
      </c>
      <c r="I3" s="9">
        <f>SUMIFS('Agent-User Daily'!$G$2:$G$8,'Agent-User Daily'!$N$2:$N$8,$K3)</f>
        <v/>
      </c>
      <c r="J3" s="13" t="n">
        <v>3</v>
      </c>
      <c r="K3" s="2" t="inlineStr">
        <is>
          <t>agent-hr-0001</t>
        </is>
      </c>
    </row>
    <row r="4">
      <c r="A4" s="2" t="inlineStr">
        <is>
          <t>Copilot Studio</t>
        </is>
      </c>
      <c r="B4" s="2" t="inlineStr">
        <is>
          <t>IT Helpdesk Agent</t>
        </is>
      </c>
      <c r="C4" s="2" t="inlineStr">
        <is>
          <t>IT Production</t>
        </is>
      </c>
      <c r="D4" s="2" t="inlineStr">
        <is>
          <t>IT-PAYG</t>
        </is>
      </c>
      <c r="E4" s="7">
        <f>SUMIFS('Agent-User Daily'!$E$2:$E$8,'Agent-User Daily'!$N$2:$N$8,$K4)</f>
        <v/>
      </c>
      <c r="F4" s="7">
        <f>SUMIFS('Agent-User Daily'!$H$2:$H$8,'Agent-User Daily'!$N$2:$N$8,$K4)</f>
        <v/>
      </c>
      <c r="G4" s="7">
        <f>SUMIFS('Agent-User Daily'!$I$2:$I$8,'Agent-User Daily'!$N$2:$N$8,$K4)</f>
        <v/>
      </c>
      <c r="H4" s="9">
        <f>SUMIFS('Agent-User Daily'!$F$2:$F$8,'Agent-User Daily'!$N$2:$N$8,$K4)</f>
        <v/>
      </c>
      <c r="I4" s="9">
        <f>SUMIFS('Agent-User Daily'!$G$2:$G$8,'Agent-User Daily'!$N$2:$N$8,$K4)</f>
        <v/>
      </c>
      <c r="J4" s="13" t="n">
        <v>1</v>
      </c>
      <c r="K4" s="2" t="inlineStr">
        <is>
          <t>agent-it-0001</t>
        </is>
      </c>
    </row>
    <row r="5">
      <c r="A5" s="2" t="inlineStr">
        <is>
          <t>Copilot Studio</t>
        </is>
      </c>
      <c r="B5" s="2" t="inlineStr">
        <is>
          <t>Sales Assistant</t>
        </is>
      </c>
      <c r="C5" s="2" t="inlineStr">
        <is>
          <t>Sales Production</t>
        </is>
      </c>
      <c r="D5" s="2" t="inlineStr">
        <is>
          <t>SALES-PAYG</t>
        </is>
      </c>
      <c r="E5" s="7">
        <f>SUMIFS('Agent-User Daily'!$E$2:$E$8,'Agent-User Daily'!$N$2:$N$8,$K5)</f>
        <v/>
      </c>
      <c r="F5" s="7">
        <f>SUMIFS('Agent-User Daily'!$H$2:$H$8,'Agent-User Daily'!$N$2:$N$8,$K5)</f>
        <v/>
      </c>
      <c r="G5" s="7">
        <f>SUMIFS('Agent-User Daily'!$I$2:$I$8,'Agent-User Daily'!$N$2:$N$8,$K5)</f>
        <v/>
      </c>
      <c r="H5" s="9">
        <f>SUMIFS('Agent-User Daily'!$F$2:$F$8,'Agent-User Daily'!$N$2:$N$8,$K5)</f>
        <v/>
      </c>
      <c r="I5" s="9">
        <f>SUMIFS('Agent-User Daily'!$G$2:$G$8,'Agent-User Daily'!$N$2:$N$8,$K5)</f>
        <v/>
      </c>
      <c r="J5" s="13" t="n">
        <v>2</v>
      </c>
      <c r="K5" s="2" t="inlineStr">
        <is>
          <t>agent-sales-0001</t>
        </is>
      </c>
    </row>
    <row r="6">
      <c r="A6" s="2" t="inlineStr">
        <is>
          <t>Microsoft 365 Copilot Chat (metered agents)</t>
        </is>
      </c>
      <c r="B6" s="2" t="inlineStr">
        <is>
          <t>Policy Finder</t>
        </is>
      </c>
      <c r="C6" s="2" t="inlineStr"/>
      <c r="D6" s="2" t="inlineStr">
        <is>
          <t>(multiple)</t>
        </is>
      </c>
      <c r="E6" s="7">
        <f>SUMIFS('M365 Copilot Chat'!$F$2:$F$5,'M365 Copilot Chat'!$L$2:$L$5,$K6)</f>
        <v/>
      </c>
      <c r="F6" s="8">
        <f>E6</f>
        <v/>
      </c>
      <c r="G6" s="8" t="n">
        <v>0</v>
      </c>
      <c r="H6" s="9">
        <f>SUMIFS('M365 Copilot Chat'!$G$2:$G$5,'M365 Copilot Chat'!$L$2:$L$5,$K6)</f>
        <v/>
      </c>
      <c r="I6" s="9">
        <f>SUMIFS('M365 Copilot Chat'!$H$2:$H$5,'M365 Copilot Chat'!$L$2:$L$5,$K6)</f>
        <v/>
      </c>
      <c r="J6" s="13" t="n">
        <v>2</v>
      </c>
      <c r="K6" s="2" t="inlineStr">
        <is>
          <t>P_11111111-aaaa-4bbb-8ccc-000000000002</t>
        </is>
      </c>
    </row>
    <row r="7">
      <c r="A7" s="2" t="inlineStr">
        <is>
          <t>Microsoft 365 Copilot Chat (metered agents)</t>
        </is>
      </c>
      <c r="B7" s="2" t="inlineStr">
        <is>
          <t>Writing Coach</t>
        </is>
      </c>
      <c r="C7" s="2" t="inlineStr"/>
      <c r="D7" s="2" t="inlineStr">
        <is>
          <t>M365-HR-PAYG</t>
        </is>
      </c>
      <c r="E7" s="7">
        <f>SUMIFS('M365 Copilot Chat'!$F$2:$F$5,'M365 Copilot Chat'!$L$2:$L$5,$K7)</f>
        <v/>
      </c>
      <c r="F7" s="8">
        <f>E7</f>
        <v/>
      </c>
      <c r="G7" s="8" t="n">
        <v>0</v>
      </c>
      <c r="H7" s="9">
        <f>SUMIFS('M365 Copilot Chat'!$G$2:$G$5,'M365 Copilot Chat'!$L$2:$L$5,$K7)</f>
        <v/>
      </c>
      <c r="I7" s="9">
        <f>SUMIFS('M365 Copilot Chat'!$H$2:$H$5,'M365 Copilot Chat'!$L$2:$L$5,$K7)</f>
        <v/>
      </c>
      <c r="J7" s="13" t="n">
        <v>2</v>
      </c>
      <c r="K7" s="2" t="inlineStr">
        <is>
          <t>P_11111111-aaaa-4bbb-8ccc-000000000001</t>
        </is>
      </c>
    </row>
    <row r="8">
      <c r="A8" s="1" t="inlineStr">
        <is>
          <t>Total</t>
        </is>
      </c>
      <c r="E8" s="10">
        <f>SUM(E2:E7)</f>
        <v/>
      </c>
      <c r="F8" s="10">
        <f>SUM(F2:F7)</f>
        <v/>
      </c>
      <c r="G8" s="10">
        <f>SUM(G2:G7)</f>
        <v/>
      </c>
      <c r="H8" s="11">
        <f>SUM(H2:H7)</f>
        <v/>
      </c>
      <c r="I8" s="11">
        <f>SUM(I2:I7)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13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0" customWidth="1" min="10" max="10"/>
  </cols>
  <sheetData>
    <row r="1">
      <c r="A1" s="6" t="inlineStr">
        <is>
          <t>User</t>
        </is>
      </c>
      <c r="B1" s="6" t="inlineStr">
        <is>
          <t>Display Name</t>
        </is>
      </c>
      <c r="C1" s="6" t="inlineStr">
        <is>
          <t>Department</t>
        </is>
      </c>
      <c r="D1" s="6" t="inlineStr">
        <is>
          <t>Copilot Studio Credits</t>
        </is>
      </c>
      <c r="E1" s="6" t="inlineStr">
        <is>
          <t>M365 Copilot Chat Credits</t>
        </is>
      </c>
      <c r="F1" s="6" t="inlineStr">
        <is>
          <t>Billed Credits</t>
        </is>
      </c>
      <c r="G1" s="6" t="inlineStr">
        <is>
          <t>Non-billable Credits</t>
        </is>
      </c>
      <c r="H1" s="6" t="inlineStr">
        <is>
          <t>Estimated Cost (USD)</t>
        </is>
      </c>
      <c r="I1" s="6" t="inlineStr">
        <is>
          <t>Allocated Azure Cost (USD)</t>
        </is>
      </c>
      <c r="J1" s="6" t="inlineStr">
        <is>
          <t>Agents Used</t>
        </is>
      </c>
    </row>
    <row r="2">
      <c r="A2" s="2" t="inlineStr">
        <is>
          <t>alice@contoso.com</t>
        </is>
      </c>
      <c r="B2" s="2" t="inlineStr">
        <is>
          <t>Alice Anders</t>
        </is>
      </c>
      <c r="C2" s="2" t="inlineStr">
        <is>
          <t>Human Resources</t>
        </is>
      </c>
      <c r="D2" s="7">
        <f>SUMIFS('Agent-User Daily'!$E$2:$E$8,'Agent-User Daily'!$C$2:$C$8,$A2)</f>
        <v/>
      </c>
      <c r="E2" s="7">
        <f>SUMIFS('M365 Copilot Chat'!$F$2:$F$5,'M365 Copilot Chat'!$D$2:$D$5,$A2)</f>
        <v/>
      </c>
      <c r="F2" s="7">
        <f>SUMIFS('Agent-User Daily'!$H$2:$H$8,'Agent-User Daily'!$C$2:$C$8,$A2)+E2</f>
        <v/>
      </c>
      <c r="G2" s="7">
        <f>SUMIFS('Agent-User Daily'!$I$2:$I$8,'Agent-User Daily'!$C$2:$C$8,$A2)</f>
        <v/>
      </c>
      <c r="H2" s="9">
        <f>SUMIFS('Agent-User Daily'!$F$2:$F$8,'Agent-User Daily'!$C$2:$C$8,$A2)+SUMIFS('M365 Copilot Chat'!$G$2:$G$5,'M365 Copilot Chat'!$D$2:$D$5,$A2)</f>
        <v/>
      </c>
      <c r="I2" s="9">
        <f>SUMIFS('Agent-User Daily'!$G$2:$G$8,'Agent-User Daily'!$C$2:$C$8,$A2)+SUMIFS('M365 Copilot Chat'!$H$2:$H$5,'M365 Copilot Chat'!$D$2:$D$5,$A2)</f>
        <v/>
      </c>
      <c r="J2" s="13" t="n">
        <v>1</v>
      </c>
    </row>
    <row r="3">
      <c r="A3" s="2" t="inlineStr">
        <is>
          <t>bob@contoso.com</t>
        </is>
      </c>
      <c r="B3" s="2" t="inlineStr">
        <is>
          <t>Bob Brown</t>
        </is>
      </c>
      <c r="C3" s="2" t="inlineStr">
        <is>
          <t>Human Resources</t>
        </is>
      </c>
      <c r="D3" s="7">
        <f>SUMIFS('Agent-User Daily'!$E$2:$E$8,'Agent-User Daily'!$C$2:$C$8,$A3)</f>
        <v/>
      </c>
      <c r="E3" s="7">
        <f>SUMIFS('M365 Copilot Chat'!$F$2:$F$5,'M365 Copilot Chat'!$D$2:$D$5,$A3)</f>
        <v/>
      </c>
      <c r="F3" s="7">
        <f>SUMIFS('Agent-User Daily'!$H$2:$H$8,'Agent-User Daily'!$C$2:$C$8,$A3)+E3</f>
        <v/>
      </c>
      <c r="G3" s="7">
        <f>SUMIFS('Agent-User Daily'!$I$2:$I$8,'Agent-User Daily'!$C$2:$C$8,$A3)</f>
        <v/>
      </c>
      <c r="H3" s="9">
        <f>SUMIFS('Agent-User Daily'!$F$2:$F$8,'Agent-User Daily'!$C$2:$C$8,$A3)+SUMIFS('M365 Copilot Chat'!$G$2:$G$5,'M365 Copilot Chat'!$D$2:$D$5,$A3)</f>
        <v/>
      </c>
      <c r="I3" s="9">
        <f>SUMIFS('Agent-User Daily'!$G$2:$G$8,'Agent-User Daily'!$C$2:$C$8,$A3)+SUMIFS('M365 Copilot Chat'!$H$2:$H$5,'M365 Copilot Chat'!$D$2:$D$5,$A3)</f>
        <v/>
      </c>
      <c r="J3" s="13" t="n">
        <v>1</v>
      </c>
    </row>
    <row r="4">
      <c r="A4" s="2" t="inlineStr">
        <is>
          <t>carol@contoso.com</t>
        </is>
      </c>
      <c r="B4" s="2" t="inlineStr">
        <is>
          <t>Carol Chen</t>
        </is>
      </c>
      <c r="C4" s="2" t="inlineStr">
        <is>
          <t>Human Resources</t>
        </is>
      </c>
      <c r="D4" s="7">
        <f>SUMIFS('Agent-User Daily'!$E$2:$E$8,'Agent-User Daily'!$C$2:$C$8,$A4)</f>
        <v/>
      </c>
      <c r="E4" s="7">
        <f>SUMIFS('M365 Copilot Chat'!$F$2:$F$5,'M365 Copilot Chat'!$D$2:$D$5,$A4)</f>
        <v/>
      </c>
      <c r="F4" s="7">
        <f>SUMIFS('Agent-User Daily'!$H$2:$H$8,'Agent-User Daily'!$C$2:$C$8,$A4)+E4</f>
        <v/>
      </c>
      <c r="G4" s="7">
        <f>SUMIFS('Agent-User Daily'!$I$2:$I$8,'Agent-User Daily'!$C$2:$C$8,$A4)</f>
        <v/>
      </c>
      <c r="H4" s="9">
        <f>SUMIFS('Agent-User Daily'!$F$2:$F$8,'Agent-User Daily'!$C$2:$C$8,$A4)+SUMIFS('M365 Copilot Chat'!$G$2:$G$5,'M365 Copilot Chat'!$D$2:$D$5,$A4)</f>
        <v/>
      </c>
      <c r="I4" s="9">
        <f>SUMIFS('Agent-User Daily'!$G$2:$G$8,'Agent-User Daily'!$C$2:$C$8,$A4)+SUMIFS('M365 Copilot Chat'!$H$2:$H$5,'M365 Copilot Chat'!$D$2:$D$5,$A4)</f>
        <v/>
      </c>
      <c r="J4" s="13" t="n">
        <v>1</v>
      </c>
    </row>
    <row r="5">
      <c r="A5" s="2" t="inlineStr">
        <is>
          <t>dana@contoso.com</t>
        </is>
      </c>
      <c r="B5" s="2" t="inlineStr">
        <is>
          <t>Dana Diaz</t>
        </is>
      </c>
      <c r="C5" s="2" t="inlineStr">
        <is>
          <t>Finance</t>
        </is>
      </c>
      <c r="D5" s="7">
        <f>SUMIFS('Agent-User Daily'!$E$2:$E$8,'Agent-User Daily'!$C$2:$C$8,$A5)</f>
        <v/>
      </c>
      <c r="E5" s="7">
        <f>SUMIFS('M365 Copilot Chat'!$F$2:$F$5,'M365 Copilot Chat'!$D$2:$D$5,$A5)</f>
        <v/>
      </c>
      <c r="F5" s="7">
        <f>SUMIFS('Agent-User Daily'!$H$2:$H$8,'Agent-User Daily'!$C$2:$C$8,$A5)+E5</f>
        <v/>
      </c>
      <c r="G5" s="7">
        <f>SUMIFS('Agent-User Daily'!$I$2:$I$8,'Agent-User Daily'!$C$2:$C$8,$A5)</f>
        <v/>
      </c>
      <c r="H5" s="9">
        <f>SUMIFS('Agent-User Daily'!$F$2:$F$8,'Agent-User Daily'!$C$2:$C$8,$A5)+SUMIFS('M365 Copilot Chat'!$G$2:$G$5,'M365 Copilot Chat'!$D$2:$D$5,$A5)</f>
        <v/>
      </c>
      <c r="I5" s="9">
        <f>SUMIFS('Agent-User Daily'!$G$2:$G$8,'Agent-User Daily'!$C$2:$C$8,$A5)+SUMIFS('M365 Copilot Chat'!$H$2:$H$5,'M365 Copilot Chat'!$D$2:$D$5,$A5)</f>
        <v/>
      </c>
      <c r="J5" s="13" t="n">
        <v>3</v>
      </c>
    </row>
    <row r="6">
      <c r="A6" s="2" t="inlineStr">
        <is>
          <t>eli@contoso.com</t>
        </is>
      </c>
      <c r="B6" s="2" t="inlineStr">
        <is>
          <t>Eli Evans</t>
        </is>
      </c>
      <c r="C6" s="2" t="inlineStr">
        <is>
          <t>Marketing</t>
        </is>
      </c>
      <c r="D6" s="7">
        <f>SUMIFS('Agent-User Daily'!$E$2:$E$8,'Agent-User Daily'!$C$2:$C$8,$A6)</f>
        <v/>
      </c>
      <c r="E6" s="7">
        <f>SUMIFS('M365 Copilot Chat'!$F$2:$F$5,'M365 Copilot Chat'!$D$2:$D$5,$A6)</f>
        <v/>
      </c>
      <c r="F6" s="7">
        <f>SUMIFS('Agent-User Daily'!$H$2:$H$8,'Agent-User Daily'!$C$2:$C$8,$A6)+E6</f>
        <v/>
      </c>
      <c r="G6" s="7">
        <f>SUMIFS('Agent-User Daily'!$I$2:$I$8,'Agent-User Daily'!$C$2:$C$8,$A6)</f>
        <v/>
      </c>
      <c r="H6" s="9">
        <f>SUMIFS('Agent-User Daily'!$F$2:$F$8,'Agent-User Daily'!$C$2:$C$8,$A6)+SUMIFS('M365 Copilot Chat'!$G$2:$G$5,'M365 Copilot Chat'!$D$2:$D$5,$A6)</f>
        <v/>
      </c>
      <c r="I6" s="9">
        <f>SUMIFS('Agent-User Daily'!$G$2:$G$8,'Agent-User Daily'!$C$2:$C$8,$A6)+SUMIFS('M365 Copilot Chat'!$H$2:$H$5,'M365 Copilot Chat'!$D$2:$D$5,$A6)</f>
        <v/>
      </c>
      <c r="J6" s="13" t="n">
        <v>1</v>
      </c>
    </row>
    <row r="7">
      <c r="A7" s="2" t="inlineStr">
        <is>
          <t>farah@contoso.com</t>
        </is>
      </c>
      <c r="B7" s="2" t="inlineStr">
        <is>
          <t>Farah Fox</t>
        </is>
      </c>
      <c r="C7" s="2" t="inlineStr">
        <is>
          <t>Sales</t>
        </is>
      </c>
      <c r="D7" s="7">
        <f>SUMIFS('Agent-User Daily'!$E$2:$E$8,'Agent-User Daily'!$C$2:$C$8,$A7)</f>
        <v/>
      </c>
      <c r="E7" s="7">
        <f>SUMIFS('M365 Copilot Chat'!$F$2:$F$5,'M365 Copilot Chat'!$D$2:$D$5,$A7)</f>
        <v/>
      </c>
      <c r="F7" s="7">
        <f>SUMIFS('Agent-User Daily'!$H$2:$H$8,'Agent-User Daily'!$C$2:$C$8,$A7)+E7</f>
        <v/>
      </c>
      <c r="G7" s="7">
        <f>SUMIFS('Agent-User Daily'!$I$2:$I$8,'Agent-User Daily'!$C$2:$C$8,$A7)</f>
        <v/>
      </c>
      <c r="H7" s="9">
        <f>SUMIFS('Agent-User Daily'!$F$2:$F$8,'Agent-User Daily'!$C$2:$C$8,$A7)+SUMIFS('M365 Copilot Chat'!$G$2:$G$5,'M365 Copilot Chat'!$D$2:$D$5,$A7)</f>
        <v/>
      </c>
      <c r="I7" s="9">
        <f>SUMIFS('Agent-User Daily'!$G$2:$G$8,'Agent-User Daily'!$C$2:$C$8,$A7)+SUMIFS('M365 Copilot Chat'!$H$2:$H$5,'M365 Copilot Chat'!$D$2:$D$5,$A7)</f>
        <v/>
      </c>
      <c r="J7" s="13" t="n">
        <v>1</v>
      </c>
    </row>
    <row r="8">
      <c r="A8" s="2" t="inlineStr">
        <is>
          <t>helpdesk@contoso.com</t>
        </is>
      </c>
      <c r="B8" s="2" t="inlineStr">
        <is>
          <t>IT Helpdesk</t>
        </is>
      </c>
      <c r="C8" s="2" t="inlineStr">
        <is>
          <t>IT</t>
        </is>
      </c>
      <c r="D8" s="7">
        <f>SUMIFS('Agent-User Daily'!$E$2:$E$8,'Agent-User Daily'!$C$2:$C$8,$A8)</f>
        <v/>
      </c>
      <c r="E8" s="7">
        <f>SUMIFS('M365 Copilot Chat'!$F$2:$F$5,'M365 Copilot Chat'!$D$2:$D$5,$A8)</f>
        <v/>
      </c>
      <c r="F8" s="7">
        <f>SUMIFS('Agent-User Daily'!$H$2:$H$8,'Agent-User Daily'!$C$2:$C$8,$A8)+E8</f>
        <v/>
      </c>
      <c r="G8" s="7">
        <f>SUMIFS('Agent-User Daily'!$I$2:$I$8,'Agent-User Daily'!$C$2:$C$8,$A8)</f>
        <v/>
      </c>
      <c r="H8" s="9">
        <f>SUMIFS('Agent-User Daily'!$F$2:$F$8,'Agent-User Daily'!$C$2:$C$8,$A8)+SUMIFS('M365 Copilot Chat'!$G$2:$G$5,'M365 Copilot Chat'!$D$2:$D$5,$A8)</f>
        <v/>
      </c>
      <c r="I8" s="9">
        <f>SUMIFS('Agent-User Daily'!$G$2:$G$8,'Agent-User Daily'!$C$2:$C$8,$A8)+SUMIFS('M365 Copilot Chat'!$H$2:$H$5,'M365 Copilot Chat'!$D$2:$D$5,$A8)</f>
        <v/>
      </c>
      <c r="J8" s="13" t="n">
        <v>1</v>
      </c>
    </row>
    <row r="9">
      <c r="A9" s="2" t="inlineStr">
        <is>
          <t>john@contoso.com</t>
        </is>
      </c>
      <c r="B9" s="2" t="inlineStr">
        <is>
          <t>John Jones</t>
        </is>
      </c>
      <c r="C9" s="2" t="inlineStr">
        <is>
          <t>Sales</t>
        </is>
      </c>
      <c r="D9" s="7">
        <f>SUMIFS('Agent-User Daily'!$E$2:$E$8,'Agent-User Daily'!$C$2:$C$8,$A9)</f>
        <v/>
      </c>
      <c r="E9" s="7">
        <f>SUMIFS('M365 Copilot Chat'!$F$2:$F$5,'M365 Copilot Chat'!$D$2:$D$5,$A9)</f>
        <v/>
      </c>
      <c r="F9" s="7">
        <f>SUMIFS('Agent-User Daily'!$H$2:$H$8,'Agent-User Daily'!$C$2:$C$8,$A9)+E9</f>
        <v/>
      </c>
      <c r="G9" s="7">
        <f>SUMIFS('Agent-User Daily'!$I$2:$I$8,'Agent-User Daily'!$C$2:$C$8,$A9)</f>
        <v/>
      </c>
      <c r="H9" s="9">
        <f>SUMIFS('Agent-User Daily'!$F$2:$F$8,'Agent-User Daily'!$C$2:$C$8,$A9)+SUMIFS('M365 Copilot Chat'!$G$2:$G$5,'M365 Copilot Chat'!$D$2:$D$5,$A9)</f>
        <v/>
      </c>
      <c r="I9" s="9">
        <f>SUMIFS('Agent-User Daily'!$G$2:$G$8,'Agent-User Daily'!$C$2:$C$8,$A9)+SUMIFS('M365 Copilot Chat'!$H$2:$H$5,'M365 Copilot Chat'!$D$2:$D$5,$A9)</f>
        <v/>
      </c>
      <c r="J9" s="13" t="n">
        <v>1</v>
      </c>
    </row>
    <row r="10">
      <c r="A10" s="2" t="inlineStr">
        <is>
          <t>mary@contoso.com</t>
        </is>
      </c>
      <c r="B10" s="2" t="inlineStr">
        <is>
          <t>Mary Miller</t>
        </is>
      </c>
      <c r="C10" s="2" t="inlineStr">
        <is>
          <t>Sales</t>
        </is>
      </c>
      <c r="D10" s="7">
        <f>SUMIFS('Agent-User Daily'!$E$2:$E$8,'Agent-User Daily'!$C$2:$C$8,$A10)</f>
        <v/>
      </c>
      <c r="E10" s="7">
        <f>SUMIFS('M365 Copilot Chat'!$F$2:$F$5,'M365 Copilot Chat'!$D$2:$D$5,$A10)</f>
        <v/>
      </c>
      <c r="F10" s="7">
        <f>SUMIFS('Agent-User Daily'!$H$2:$H$8,'Agent-User Daily'!$C$2:$C$8,$A10)+E10</f>
        <v/>
      </c>
      <c r="G10" s="7">
        <f>SUMIFS('Agent-User Daily'!$I$2:$I$8,'Agent-User Daily'!$C$2:$C$8,$A10)</f>
        <v/>
      </c>
      <c r="H10" s="9">
        <f>SUMIFS('Agent-User Daily'!$F$2:$F$8,'Agent-User Daily'!$C$2:$C$8,$A10)+SUMIFS('M365 Copilot Chat'!$G$2:$G$5,'M365 Copilot Chat'!$D$2:$D$5,$A10)</f>
        <v/>
      </c>
      <c r="I10" s="9">
        <f>SUMIFS('Agent-User Daily'!$G$2:$G$8,'Agent-User Daily'!$C$2:$C$8,$A10)+SUMIFS('M365 Copilot Chat'!$H$2:$H$5,'M365 Copilot Chat'!$D$2:$D$5,$A10)</f>
        <v/>
      </c>
      <c r="J10" s="13" t="n">
        <v>1</v>
      </c>
    </row>
    <row r="11">
      <c r="A11" s="1" t="inlineStr">
        <is>
          <t>Total</t>
        </is>
      </c>
      <c r="D11" s="10">
        <f>SUM(D2:D10)</f>
        <v/>
      </c>
      <c r="E11" s="10">
        <f>SUM(E2:E10)</f>
        <v/>
      </c>
      <c r="F11" s="10">
        <f>SUM(F2:F10)</f>
        <v/>
      </c>
      <c r="G11" s="10">
        <f>SUM(G2:G10)</f>
        <v/>
      </c>
      <c r="H11" s="11">
        <f>SUM(H2:H10)</f>
        <v/>
      </c>
      <c r="I11" s="11">
        <f>SUM(I2:I10)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3" customWidth="1" min="4" max="4"/>
    <col width="13" customWidth="1" min="5" max="5"/>
  </cols>
  <sheetData>
    <row r="1">
      <c r="A1" s="6" t="inlineStr">
        <is>
          <t>Feature</t>
        </is>
      </c>
      <c r="B1" s="6" t="inlineStr">
        <is>
          <t>Credits Consumed</t>
        </is>
      </c>
      <c r="C1" s="6" t="inlineStr">
        <is>
          <t>Billed Credits</t>
        </is>
      </c>
      <c r="D1" s="6" t="inlineStr">
        <is>
          <t>Non-billable Credits</t>
        </is>
      </c>
      <c r="E1" s="6" t="inlineStr">
        <is>
          <t>Estimated Cost (USD)</t>
        </is>
      </c>
    </row>
    <row r="2">
      <c r="A2" s="2" t="inlineStr">
        <is>
          <t>Agent action</t>
        </is>
      </c>
      <c r="B2" s="7">
        <f>SUMIFS('Feature Detail'!$F$2:$F$12,'Feature Detail'!$E$2:$E$12,$A2)</f>
        <v/>
      </c>
      <c r="C2" s="7">
        <f>SUMIFS('Feature Detail'!$G$2:$G$12,'Feature Detail'!$E$2:$E$12,$A2)</f>
        <v/>
      </c>
      <c r="D2" s="7">
        <f>SUMIFS('Feature Detail'!$H$2:$H$12,'Feature Detail'!$E$2:$E$12,$A2)</f>
        <v/>
      </c>
      <c r="E2" s="9">
        <f>SUMIFS('Feature Detail'!$I$2:$I$12,'Feature Detail'!$E$2:$E$12,$A2)</f>
        <v/>
      </c>
    </row>
    <row r="3">
      <c r="A3" s="2" t="inlineStr">
        <is>
          <t>Classic answer</t>
        </is>
      </c>
      <c r="B3" s="7">
        <f>SUMIFS('Feature Detail'!$F$2:$F$12,'Feature Detail'!$E$2:$E$12,$A3)</f>
        <v/>
      </c>
      <c r="C3" s="7">
        <f>SUMIFS('Feature Detail'!$G$2:$G$12,'Feature Detail'!$E$2:$E$12,$A3)</f>
        <v/>
      </c>
      <c r="D3" s="7">
        <f>SUMIFS('Feature Detail'!$H$2:$H$12,'Feature Detail'!$E$2:$E$12,$A3)</f>
        <v/>
      </c>
      <c r="E3" s="9">
        <f>SUMIFS('Feature Detail'!$I$2:$I$12,'Feature Detail'!$E$2:$E$12,$A3)</f>
        <v/>
      </c>
    </row>
    <row r="4">
      <c r="A4" s="2" t="inlineStr">
        <is>
          <t>Generative answer</t>
        </is>
      </c>
      <c r="B4" s="7">
        <f>SUMIFS('Feature Detail'!$F$2:$F$12,'Feature Detail'!$E$2:$E$12,$A4)</f>
        <v/>
      </c>
      <c r="C4" s="7">
        <f>SUMIFS('Feature Detail'!$G$2:$G$12,'Feature Detail'!$E$2:$E$12,$A4)</f>
        <v/>
      </c>
      <c r="D4" s="7">
        <f>SUMIFS('Feature Detail'!$H$2:$H$12,'Feature Detail'!$E$2:$E$12,$A4)</f>
        <v/>
      </c>
      <c r="E4" s="9">
        <f>SUMIFS('Feature Detail'!$I$2:$I$12,'Feature Detail'!$E$2:$E$12,$A4)</f>
        <v/>
      </c>
    </row>
    <row r="5">
      <c r="A5" s="2" t="inlineStr">
        <is>
          <t>Tenant graph grounding</t>
        </is>
      </c>
      <c r="B5" s="7">
        <f>SUMIFS('Feature Detail'!$F$2:$F$12,'Feature Detail'!$E$2:$E$12,$A5)</f>
        <v/>
      </c>
      <c r="C5" s="7">
        <f>SUMIFS('Feature Detail'!$G$2:$G$12,'Feature Detail'!$E$2:$E$12,$A5)</f>
        <v/>
      </c>
      <c r="D5" s="7">
        <f>SUMIFS('Feature Detail'!$H$2:$H$12,'Feature Detail'!$E$2:$E$12,$A5)</f>
        <v/>
      </c>
      <c r="E5" s="9">
        <f>SUMIFS('Feature Detail'!$I$2:$I$12,'Feature Detail'!$E$2:$E$12,$A5)</f>
        <v/>
      </c>
    </row>
    <row r="6">
      <c r="A6" s="1" t="inlineStr">
        <is>
          <t>Total</t>
        </is>
      </c>
      <c r="B6" s="10">
        <f>SUM(B2:B5)</f>
        <v/>
      </c>
      <c r="C6" s="10">
        <f>SUM(C2:C5)</f>
        <v/>
      </c>
      <c r="D6" s="10">
        <f>SUM(D2:D5)</f>
        <v/>
      </c>
      <c r="E6" s="11">
        <f>SUM(E2:E5)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14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A. Azure Cost Management - actual charges on Copilot meters, per billing policy per day</t>
        </is>
      </c>
    </row>
    <row r="2">
      <c r="A2" s="6" t="inlineStr">
        <is>
          <t>Date</t>
        </is>
      </c>
      <c r="B2" s="6" t="inlineStr">
        <is>
          <t>Billing Policy (Azure resource)</t>
        </is>
      </c>
      <c r="C2" s="6" t="inlineStr">
        <is>
          <t>Meter</t>
        </is>
      </c>
      <c r="D2" s="6" t="inlineStr">
        <is>
          <t>Azure Quantity (credits)</t>
        </is>
      </c>
      <c r="E2" s="6" t="inlineStr">
        <is>
          <t>Azure Cost (USD)</t>
        </is>
      </c>
      <c r="F2" s="6" t="inlineStr">
        <is>
          <t>Report Billed Credits - Copilot Studio (same policy &amp; date)</t>
        </is>
      </c>
      <c r="G2" s="6" t="inlineStr">
        <is>
          <t>Difference (credits)</t>
        </is>
      </c>
    </row>
    <row r="3">
      <c r="A3" s="4" t="n">
        <v>46292</v>
      </c>
      <c r="B3" s="2" t="inlineStr">
        <is>
          <t>M365-HR-PAYG</t>
        </is>
      </c>
      <c r="C3" s="2" t="inlineStr">
        <is>
          <t>Microsoft Copilot Studio / Copilot Credit</t>
        </is>
      </c>
      <c r="D3" s="8" t="n">
        <v>50</v>
      </c>
      <c r="E3" s="12" t="n">
        <v>0.5</v>
      </c>
      <c r="F3" s="7">
        <f>SUMIFS('Agent-User Daily'!$H$2:$H$8,'Agent-User Daily'!$A$2:$A$8,$A3,'Agent-User Daily'!$D$2:$D$8,$B3)</f>
        <v/>
      </c>
      <c r="G3" s="8">
        <f>D3-F3</f>
        <v/>
      </c>
    </row>
    <row r="4">
      <c r="A4" s="4" t="n">
        <v>46293</v>
      </c>
      <c r="B4" s="2" t="inlineStr">
        <is>
          <t>M365-SALES-PAYG</t>
        </is>
      </c>
      <c r="C4" s="2" t="inlineStr">
        <is>
          <t>Microsoft Copilot Studio / Copilot Credit</t>
        </is>
      </c>
      <c r="D4" s="8" t="n">
        <v>60</v>
      </c>
      <c r="E4" s="12" t="n">
        <v>0.6</v>
      </c>
      <c r="F4" s="7">
        <f>SUMIFS('Agent-User Daily'!$H$2:$H$8,'Agent-User Daily'!$A$2:$A$8,$A4,'Agent-User Daily'!$D$2:$D$8,$B4)</f>
        <v/>
      </c>
      <c r="G4" s="8">
        <f>D4-F4</f>
        <v/>
      </c>
    </row>
    <row r="5">
      <c r="A5" s="4" t="n">
        <v>46294</v>
      </c>
      <c r="B5" s="2" t="inlineStr">
        <is>
          <t>M365-HR-PAYG</t>
        </is>
      </c>
      <c r="C5" s="2" t="inlineStr">
        <is>
          <t>Microsoft Copilot Studio / Copilot Credit</t>
        </is>
      </c>
      <c r="D5" s="8" t="n">
        <v>60</v>
      </c>
      <c r="E5" s="12" t="n">
        <v>0.6</v>
      </c>
      <c r="F5" s="7">
        <f>SUMIFS('Agent-User Daily'!$H$2:$H$8,'Agent-User Daily'!$A$2:$A$8,$A5,'Agent-User Daily'!$D$2:$D$8,$B5)</f>
        <v/>
      </c>
      <c r="G5" s="8">
        <f>D5-F5</f>
        <v/>
      </c>
    </row>
    <row r="6">
      <c r="A6" s="4" t="n">
        <v>46295</v>
      </c>
      <c r="B6" s="2" t="inlineStr">
        <is>
          <t>HR-PAYG</t>
        </is>
      </c>
      <c r="C6" s="2" t="inlineStr">
        <is>
          <t>Microsoft Copilot Studio / Copilot Credit</t>
        </is>
      </c>
      <c r="D6" s="8" t="n">
        <v>212</v>
      </c>
      <c r="E6" s="12" t="n">
        <v>2.12</v>
      </c>
      <c r="F6" s="7">
        <f>SUMIFS('Agent-User Daily'!$H$2:$H$8,'Agent-User Daily'!$A$2:$A$8,$A6,'Agent-User Daily'!$D$2:$D$8,$B6)</f>
        <v/>
      </c>
      <c r="G6" s="8">
        <f>D6-F6</f>
        <v/>
      </c>
    </row>
    <row r="7">
      <c r="A7" s="4" t="n">
        <v>46295</v>
      </c>
      <c r="B7" s="2" t="inlineStr">
        <is>
          <t>IT-PAYG</t>
        </is>
      </c>
      <c r="C7" s="2" t="inlineStr">
        <is>
          <t>Microsoft Copilot Studio / Copilot Credit</t>
        </is>
      </c>
      <c r="D7" s="8" t="n">
        <v>1000</v>
      </c>
      <c r="E7" s="12" t="n">
        <v>10</v>
      </c>
      <c r="F7" s="7">
        <f>SUMIFS('Agent-User Daily'!$H$2:$H$8,'Agent-User Daily'!$A$2:$A$8,$A7,'Agent-User Daily'!$D$2:$D$8,$B7)</f>
        <v/>
      </c>
      <c r="G7" s="8">
        <f>D7-F7</f>
        <v/>
      </c>
    </row>
    <row r="8">
      <c r="A8" s="4" t="n">
        <v>46295</v>
      </c>
      <c r="B8" s="2" t="inlineStr">
        <is>
          <t>SALES-PAYG</t>
        </is>
      </c>
      <c r="C8" s="2" t="inlineStr">
        <is>
          <t>Microsoft Copilot Studio / Copilot Credit</t>
        </is>
      </c>
      <c r="D8" s="8" t="n">
        <v>465</v>
      </c>
      <c r="E8" s="12" t="n">
        <v>4.65</v>
      </c>
      <c r="F8" s="7">
        <f>SUMIFS('Agent-User Daily'!$H$2:$H$8,'Agent-User Daily'!$A$2:$A$8,$A8,'Agent-User Daily'!$D$2:$D$8,$B8)</f>
        <v/>
      </c>
      <c r="G8" s="8">
        <f>D8-F8</f>
        <v/>
      </c>
    </row>
    <row r="10">
      <c r="A10" s="1" t="inlineStr">
        <is>
          <t>A2. Microsoft 365 billing policies - Copilot Credits report window vs Azure</t>
        </is>
      </c>
    </row>
    <row r="11">
      <c r="A11" s="6" t="inlineStr">
        <is>
          <t>Billing Policy</t>
        </is>
      </c>
      <c r="B11" s="6" t="inlineStr">
        <is>
          <t>Period Start</t>
        </is>
      </c>
      <c r="C11" s="6" t="inlineStr">
        <is>
          <t>Period End</t>
        </is>
      </c>
      <c r="D11" s="6" t="inlineStr">
        <is>
          <t>Report Credits (M365 export)</t>
        </is>
      </c>
      <c r="E11" s="6" t="inlineStr">
        <is>
          <t>Azure Quantity (same policy &amp; window)</t>
        </is>
      </c>
      <c r="F11" s="6" t="inlineStr">
        <is>
          <t>Difference (credits)</t>
        </is>
      </c>
    </row>
    <row r="12">
      <c r="A12" s="2" t="inlineStr">
        <is>
          <t>M365-HR-PAYG</t>
        </is>
      </c>
      <c r="B12" s="4" t="n">
        <v>46289</v>
      </c>
      <c r="C12" s="4" t="n">
        <v>46295</v>
      </c>
      <c r="D12" s="7">
        <f>SUMIFS('M365 Copilot Chat'!$F$2:$F$5,'M365 Copilot Chat'!$E$2:$E$5,$A12,'M365 Copilot Chat'!$A$2:$A$5,$B12,'M365 Copilot Chat'!$B$2:$B$5,$C12)</f>
        <v/>
      </c>
      <c r="E12" s="8">
        <f>SUMIFS($D$3:$D$8,$B$3:$B$8,$A12,$A$3:$A$8,"&gt;="&amp;$B12,$A$3:$A$8,"&lt;="&amp;$C12)</f>
        <v/>
      </c>
      <c r="F12" s="8">
        <f>E12-D12</f>
        <v/>
      </c>
    </row>
    <row r="13">
      <c r="A13" s="2" t="inlineStr">
        <is>
          <t>M365-SALES-PAYG</t>
        </is>
      </c>
      <c r="B13" s="4" t="n">
        <v>46289</v>
      </c>
      <c r="C13" s="4" t="n">
        <v>46295</v>
      </c>
      <c r="D13" s="7">
        <f>SUMIFS('M365 Copilot Chat'!$F$2:$F$5,'M365 Copilot Chat'!$E$2:$E$5,$A13,'M365 Copilot Chat'!$A$2:$A$5,$B13,'M365 Copilot Chat'!$B$2:$B$5,$C13)</f>
        <v/>
      </c>
      <c r="E13" s="8">
        <f>SUMIFS($D$3:$D$8,$B$3:$B$8,$A13,$A$3:$A$8,"&gt;="&amp;$B13,$A$3:$A$8,"&lt;="&amp;$C13)</f>
        <v/>
      </c>
      <c r="F13" s="8">
        <f>E13-D13</f>
        <v/>
      </c>
    </row>
    <row r="15">
      <c r="A15" s="1" t="inlineStr">
        <is>
          <t>B. Environments (Power Platform licensing API)</t>
        </is>
      </c>
    </row>
    <row r="16">
      <c r="A16" s="6" t="inlineStr">
        <is>
          <t>Environment</t>
        </is>
      </c>
      <c r="B16" s="6" t="inlineStr">
        <is>
          <t>Billing Policy</t>
        </is>
      </c>
      <c r="C16" s="6" t="inlineStr">
        <is>
          <t>Copilot Studio PAYG enabled on policy</t>
        </is>
      </c>
      <c r="D16" s="6" t="inlineStr">
        <is>
          <t>Prepaid Credits Allocated</t>
        </is>
      </c>
      <c r="E16" s="6" t="inlineStr">
        <is>
          <t>Billed Credits - prepaid (last snapshot)</t>
        </is>
      </c>
      <c r="F16" s="6" t="inlineStr">
        <is>
          <t>Billed Credits - PAYG (last snapshot)</t>
        </is>
      </c>
      <c r="G16" s="6" t="inlineStr">
        <is>
          <t>Snapshot Date</t>
        </is>
      </c>
    </row>
    <row r="17">
      <c r="A17" s="2" t="inlineStr">
        <is>
          <t>HR Production</t>
        </is>
      </c>
      <c r="B17" s="2" t="inlineStr">
        <is>
          <t>HR-PAYG</t>
        </is>
      </c>
      <c r="C17" s="2" t="inlineStr">
        <is>
          <t>Yes</t>
        </is>
      </c>
      <c r="D17" s="8" t="n">
        <v>0</v>
      </c>
      <c r="E17" s="8" t="inlineStr"/>
      <c r="F17" s="8" t="inlineStr"/>
      <c r="G17" s="2" t="inlineStr"/>
    </row>
    <row r="18">
      <c r="A18" s="2" t="inlineStr">
        <is>
          <t>Sales Production</t>
        </is>
      </c>
      <c r="B18" s="2" t="inlineStr">
        <is>
          <t>SALES-PAYG</t>
        </is>
      </c>
      <c r="C18" s="2" t="inlineStr">
        <is>
          <t>Yes</t>
        </is>
      </c>
      <c r="D18" s="8" t="n">
        <v>0</v>
      </c>
      <c r="E18" s="8" t="inlineStr"/>
      <c r="F18" s="8" t="inlineStr"/>
      <c r="G18" s="2" t="inlineStr"/>
    </row>
    <row r="19">
      <c r="A19" s="2" t="inlineStr">
        <is>
          <t>IT Production</t>
        </is>
      </c>
      <c r="B19" s="2" t="inlineStr">
        <is>
          <t>IT-PAYG</t>
        </is>
      </c>
      <c r="C19" s="2" t="inlineStr">
        <is>
          <t>Yes</t>
        </is>
      </c>
      <c r="D19" s="8" t="n">
        <v>0</v>
      </c>
      <c r="E19" s="8" t="inlineStr"/>
      <c r="F19" s="8" t="inlineStr"/>
      <c r="G19" s="2" t="inlineStr"/>
    </row>
    <row r="20">
      <c r="A20" s="2" t="inlineStr">
        <is>
          <t>Finance Sandbox</t>
        </is>
      </c>
      <c r="B20" s="2" t="inlineStr">
        <is>
          <t>(none)</t>
        </is>
      </c>
      <c r="C20" s="2" t="inlineStr">
        <is>
          <t>No</t>
        </is>
      </c>
      <c r="D20" s="8" t="n">
        <v>5000</v>
      </c>
      <c r="E20" s="8" t="inlineStr"/>
      <c r="F20" s="8" t="inlineStr"/>
      <c r="G20" s="2" t="inlineStr"/>
    </row>
    <row r="22">
      <c r="A22" s="1" t="inlineStr">
        <is>
          <t>C. Tenant Copilot Credit capacity (Power Platform licensing API)</t>
        </is>
      </c>
    </row>
    <row r="23">
      <c r="A23" s="2" t="inlineStr">
        <is>
          <t>Prepaid credits entitled</t>
        </is>
      </c>
      <c r="B23" s="8" t="n">
        <v>25000</v>
      </c>
    </row>
    <row r="24">
      <c r="A24" s="2" t="inlineStr">
        <is>
          <t>Credits allocated to environments</t>
        </is>
      </c>
      <c r="B24" s="8" t="n">
        <v>5000</v>
      </c>
    </row>
    <row r="25">
      <c r="A25" s="2" t="inlineStr">
        <is>
          <t>Billed credits consumed (MonthToDate)</t>
        </is>
      </c>
      <c r="B25" s="8" t="n">
        <v>40</v>
      </c>
    </row>
    <row r="26">
      <c r="A26" s="2" t="inlineStr">
        <is>
          <t>As of</t>
        </is>
      </c>
      <c r="B26" s="2" t="inlineStr">
        <is>
          <t>2026-09-30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4" t="inlineStr">
        <is>
          <t>How this report is built</t>
        </is>
      </c>
    </row>
    <row r="2">
      <c r="A2" s="5" t="inlineStr">
        <is>
          <t>Copilot Studio: Power Platform API (api-version 2024-10-01) - GET /licensing/entitlements/MCSMessages/users and GET /licensing/entitlements/MCSMessages/users/{userId}/resources, queried one day at a time (fromDate = toDate). 'Billed Credits' is the API 'consumed' value; 'Non-billable Credits' is metadata.NonBillableQuantity.</t>
        </is>
      </c>
    </row>
    <row r="3">
      <c r="A3" s="5" t="inlineStr">
        <is>
          <t>Billing policy and Copilot Studio PAYG flag: GET /licensing/billingPolicies (payGoEntitlements[MCSMessages].payAsYouGoState). Environment names: GET /environmentmanagement/environments. Users: Microsoft Graph $batch.</t>
        </is>
      </c>
    </row>
    <row r="4">
      <c r="A4" s="5" t="inlineStr">
        <is>
          <t>Microsoft 365 Copilot Chat metered agents: the 'Users and agents' CSV export of the Microsoft 365 admin center Copilot Credits report (Reports &gt; Usage &gt; Microsoft Copilot &gt; Credits). Microsoft offers no API for it.</t>
        </is>
      </c>
    </row>
    <row r="5">
      <c r="A5" s="5" t="inlineStr">
        <is>
          <t>Actual charges: Azure Cost Management Query API, resource type Microsoft.PowerPlatform/accounts (one resource per billing policy), Copilot meters only. Azure has no agent or user dimension, so it is allocated to report rows.</t>
        </is>
      </c>
    </row>
    <row r="6">
      <c r="A6" s="5" t="inlineStr">
        <is>
          <t>Limits: Microsoft restricted the agent listing endpoint (/licensing/entitlements/MCSMessages/resources) to the Power Platform admin center in September 2026. Usage with no user identity can't be listed per agent and shows up as Azure cost that is not matched to a report row (see Overview).</t>
        </is>
      </c>
    </row>
    <row r="7">
      <c r="A7" s="5" t="inlineStr">
        <is>
          <t>The user-level endpoints are in the public REST reference, but Microsoft has said this consumption API family is intended for the Power Platform admin center. Keep the admin center downloads (Licensing &gt; Copilot Studio &gt; Download report) as the fallback.</t>
        </is>
      </c>
    </row>
    <row r="8">
      <c r="A8" s="5" t="inlineStr">
        <is>
          <t>Latency: licensing snapshots are daily (00:00 UTC) and Azure charges can take 24 hours. Report on days that are at least 2 days old. Validate totals against your Azure invoice before using them for chargeback.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2026-10-01T10:46:02Z</dcterms:created>
  <dcterms:modified xsi:type="dcterms:W3CDTF">2026-10-01T10:46:02Z</dcterms:modified>
</cp:coreProperties>
</file>